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LC token &amp; ACU" sheetId="1" state="visible" r:id="rId1"/>
    <sheet xmlns:r="http://schemas.openxmlformats.org/officeDocument/2006/relationships" name="AIDLC Phases" sheetId="2" state="visible" r:id="rId2"/>
    <sheet xmlns:r="http://schemas.openxmlformats.org/officeDocument/2006/relationships" name="Rate card &amp; token rates" sheetId="3" state="visible" r:id="rId3"/>
    <sheet xmlns:r="http://schemas.openxmlformats.org/officeDocument/2006/relationships" name="Provenance &amp; formulas" sheetId="4" state="visible" r:id="rId4"/>
    <sheet xmlns:r="http://schemas.openxmlformats.org/officeDocument/2006/relationships" name="Cache efficiency" sheetId="5" state="visible" r:id="rId5"/>
    <sheet xmlns:r="http://schemas.openxmlformats.org/officeDocument/2006/relationships" name="If tokens were billed" sheetId="6" state="visible" r:id="rId6"/>
    <sheet xmlns:r="http://schemas.openxmlformats.org/officeDocument/2006/relationships" name="Raw teleme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0"/>
    <numFmt numFmtId="166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0" fontId="0" fillId="3" borderId="0" applyAlignment="1" pivotButton="0" quotePrefix="0" xfId="0">
      <alignment vertical="top" wrapText="1"/>
    </xf>
    <xf numFmtId="164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0" fillId="4" borderId="0" applyAlignment="1" pivotButton="0" quotePrefix="0" xfId="0">
      <alignment vertical="top" wrapText="1"/>
    </xf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4" customWidth="1" min="3" max="3"/>
    <col width="13" customWidth="1" min="4" max="4"/>
    <col width="11" customWidth="1" min="5" max="5"/>
    <col width="13" customWidth="1" min="6" max="6"/>
    <col width="14" customWidth="1" min="7" max="7"/>
    <col width="11" customWidth="1" min="8" max="8"/>
    <col width="10" customWidth="1" min="9" max="9"/>
    <col width="40" customWidth="1" min="10" max="10"/>
    <col width="13" customWidth="1" min="11" max="11"/>
    <col width="84" customWidth="1" min="12" max="12"/>
  </cols>
  <sheetData>
    <row r="1">
      <c r="A1" s="1" t="inlineStr">
        <is>
          <t>DEVIN - Angular 9 -&gt; 20 migration: AIDLC token &amp; ACU consumption</t>
        </is>
      </c>
    </row>
    <row r="2">
      <c r="A2" s="2" t="inlineStr">
        <is>
          <t>Devin bills ACUs, not tokens. Dollar Value = ACUs x $2.25/ACU. Token / Input / Cache Write / Cache Read / Output are measured context telemetry shown for parity with the Claude sheet - they carry no price. Operation (PR) and Validation are reported inside Construction; Governance is optional tooling and is listed last.</t>
        </is>
      </c>
    </row>
    <row r="3">
      <c r="A3" t="inlineStr">
        <is>
          <t>Session devin-b089339539c84cfb8fe4913619e49d66 | infosys-training/angular2-hn | PR https://github.com/infosys-training/angular2-hn/pull/35</t>
        </is>
      </c>
    </row>
    <row r="5" ht="30" customHeight="1">
      <c r="A5" s="3" t="inlineStr">
        <is>
          <t>AIDLC Phases</t>
        </is>
      </c>
      <c r="B5" s="3" t="inlineStr">
        <is>
          <t>Task</t>
        </is>
      </c>
      <c r="C5" s="3" t="inlineStr">
        <is>
          <t>Model</t>
        </is>
      </c>
      <c r="D5" s="3" t="inlineStr">
        <is>
          <t>Token</t>
        </is>
      </c>
      <c r="E5" s="3" t="inlineStr">
        <is>
          <t>Input</t>
        </is>
      </c>
      <c r="F5" s="3" t="inlineStr">
        <is>
          <t>Cache Write</t>
        </is>
      </c>
      <c r="G5" s="3" t="inlineStr">
        <is>
          <t>Cache Read</t>
        </is>
      </c>
      <c r="H5" s="3" t="inlineStr">
        <is>
          <t>Output</t>
        </is>
      </c>
      <c r="I5" s="3" t="inlineStr">
        <is>
          <t>ACUs</t>
        </is>
      </c>
      <c r="J5" s="3" t="inlineStr">
        <is>
          <t>Basis</t>
        </is>
      </c>
      <c r="K5" s="3" t="inlineStr">
        <is>
          <t>Dollar Value</t>
        </is>
      </c>
      <c r="L5" s="3" t="inlineStr">
        <is>
          <t>What is covered</t>
        </is>
      </c>
    </row>
    <row r="6" ht="62" customHeight="1">
      <c r="A6" s="2" t="inlineStr">
        <is>
          <t>Inception</t>
        </is>
      </c>
      <c r="B6" s="2" t="inlineStr">
        <is>
          <t>A1-A3  BRD, units of work, acceptance criteria</t>
        </is>
      </c>
      <c r="C6" s="2" t="inlineStr">
        <is>
          <t>Devin agent (mode not exposed)</t>
        </is>
      </c>
      <c r="D6" s="4">
        <f>G6+F6</f>
        <v/>
      </c>
      <c r="E6" s="4" t="n">
        <v>7964</v>
      </c>
      <c r="F6" s="4" t="n">
        <v>16915</v>
      </c>
      <c r="G6" s="4" t="n">
        <v>1086900</v>
      </c>
      <c r="H6" s="4" t="n">
        <v>8951</v>
      </c>
      <c r="I6" t="n">
        <v>1.7528</v>
      </c>
      <c r="J6" s="2" t="inlineStr">
        <is>
          <t>ACUs derived (wall-clock split of the measured 20.2524 total); tokens = ACUs x measured construction token rate</t>
        </is>
      </c>
      <c r="K6" s="5">
        <f>I6*2.25</f>
        <v/>
      </c>
      <c r="L6" s="2" t="inlineStr">
        <is>
          <t>Understood the existing app and planned the migration: BRD of current vs target versions and every breaking change, broken into one unit of work per version with acceptance criteria.</t>
        </is>
      </c>
    </row>
    <row r="7" ht="62" customHeight="1">
      <c r="A7" s="2" t="inlineStr">
        <is>
          <t>Construction</t>
        </is>
      </c>
      <c r="B7" s="2" t="inlineStr">
        <is>
          <t>B1-B11, C1-C9, D-PR, V1  Angular 9 -&gt; 20 upgrade, cross-cutting refactors, PR and verification</t>
        </is>
      </c>
      <c r="C7" s="2" t="inlineStr">
        <is>
          <t>Devin agent (mode not exposed)</t>
        </is>
      </c>
      <c r="D7" s="4">
        <f>G7+F7</f>
        <v/>
      </c>
      <c r="E7" s="4" t="n">
        <v>76916</v>
      </c>
      <c r="F7" s="4" t="n">
        <v>163358</v>
      </c>
      <c r="G7" s="4" t="n">
        <v>10496754</v>
      </c>
      <c r="H7" s="4" t="n">
        <v>86442</v>
      </c>
      <c r="I7" t="n">
        <v>16.9277</v>
      </c>
      <c r="J7" s="2" t="inlineStr">
        <is>
          <t>ACUs derived (wall-clock split of the measured 20.2524 total); tokens = ACUs x measured construction token rate</t>
        </is>
      </c>
      <c r="K7" s="5">
        <f>I7*2.25</f>
        <v/>
      </c>
      <c r="L7" s="2" t="inlineStr">
        <is>
          <t>Did the migration: 11 major Angular upgrades one at a time, modernised the code and toolchain (RxJS 7, ESLint, standalone, new control flow, new builder, Playwright tests) and updated the CI, hosting and docs config. Includes Operation (raised PR #35) and Validation (builds, lint, unit and e2e tests green after each step).</t>
        </is>
      </c>
    </row>
    <row r="8" ht="62" customHeight="1">
      <c r="A8" s="2" t="inlineStr">
        <is>
          <t>Governance / AIDLC tooling (optional)</t>
        </is>
      </c>
      <c r="B8" s="2" t="inlineStr">
        <is>
          <t>E1-E2  Prompt-prefix generator and AIDLC cost tooling</t>
        </is>
      </c>
      <c r="C8" s="2" t="inlineStr">
        <is>
          <t>Devin agent (mode not exposed)</t>
        </is>
      </c>
      <c r="D8" s="4">
        <f>G8+F8</f>
        <v/>
      </c>
      <c r="E8" s="4" t="n">
        <v>7142</v>
      </c>
      <c r="F8" s="4" t="n">
        <v>15168</v>
      </c>
      <c r="G8" s="4" t="n">
        <v>974663</v>
      </c>
      <c r="H8" s="4" t="n">
        <v>8026</v>
      </c>
      <c r="I8" t="n">
        <v>1.5718</v>
      </c>
      <c r="J8" s="2" t="inlineStr">
        <is>
          <t>ACUs derived (wall-clock split of the measured 20.2524 total); tokens = ACUs x measured construction token rate</t>
        </is>
      </c>
      <c r="K8" s="5">
        <f>I8*2.25</f>
        <v/>
      </c>
      <c r="L8" s="2" t="inlineStr">
        <is>
          <t>Optional. Reusable AIDLC instrumentation - the stable prompt prefix and the cost/usage reporting scripts. Not needed to migrate the app, and reusable on future migrations.</t>
        </is>
      </c>
    </row>
    <row r="9">
      <c r="A9" s="6" t="inlineStr">
        <is>
          <t>MIGRATION TOTAL</t>
        </is>
      </c>
      <c r="B9" s="7" t="n"/>
      <c r="C9" s="7" t="n"/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9">
        <f>SUM(I6:I8)</f>
        <v/>
      </c>
      <c r="J9" s="10" t="inlineStr">
        <is>
          <t>Migration ACU total is MEASURED: 20.2524 ACUs</t>
        </is>
      </c>
      <c r="K9" s="11">
        <f>I9*2.25</f>
        <v/>
      </c>
      <c r="L9" s="7" t="n"/>
    </row>
    <row r="10">
      <c r="A10" s="2" t="inlineStr">
        <is>
          <t>Delivery total excluding optional governance tooling</t>
        </is>
      </c>
      <c r="I10">
        <f>I9-I8</f>
        <v/>
      </c>
      <c r="K10" s="5">
        <f>I10*2.25</f>
        <v/>
      </c>
      <c r="L10" s="2" t="inlineStr">
        <is>
          <t>Cost of the migration alone, with the reusable tooling excluded.</t>
        </is>
      </c>
    </row>
    <row r="12">
      <c r="A12" s="12" t="inlineStr">
        <is>
          <t>Note</t>
        </is>
      </c>
      <c r="B12" s="2" t="inlineStr">
        <is>
          <t>Post-delivery reporting and Q&amp;A (13.8651 measured ACUs / $31.20) is deliberately NOT in this table: it is not migration work. It is shown separately in 'If tokens were billed' and in the review script.</t>
        </is>
      </c>
    </row>
  </sheetData>
  <mergeCells count="1">
    <mergeCell ref="B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3" customWidth="1" min="4" max="4"/>
    <col width="14" customWidth="1" min="5" max="5"/>
    <col width="34" customWidth="1" min="6" max="6"/>
    <col width="70" customWidth="1" min="7" max="7"/>
  </cols>
  <sheetData>
    <row r="1">
      <c r="A1" s="13" t="inlineStr">
        <is>
          <t>ACU consumption per AIDLC phase (detail behind the merged rows)</t>
        </is>
      </c>
    </row>
    <row r="3">
      <c r="A3" s="3" t="inlineStr">
        <is>
          <t>AIDLC phase</t>
        </is>
      </c>
      <c r="B3" s="3" t="inlineStr">
        <is>
          <t>Reported inside</t>
        </is>
      </c>
      <c r="C3" s="3" t="inlineStr">
        <is>
          <t>ACUs</t>
        </is>
      </c>
      <c r="D3" s="3" t="inlineStr">
        <is>
          <t>Dollar value</t>
        </is>
      </c>
      <c r="E3" s="3" t="inlineStr">
        <is>
          <t>% of migration</t>
        </is>
      </c>
      <c r="F3" s="3" t="inlineStr">
        <is>
          <t>Basis</t>
        </is>
      </c>
      <c r="G3" s="3" t="inlineStr">
        <is>
          <t>What it covers</t>
        </is>
      </c>
    </row>
    <row r="4">
      <c r="A4" s="2" t="inlineStr">
        <is>
          <t>Inception</t>
        </is>
      </c>
      <c r="B4" t="inlineStr">
        <is>
          <t>own row</t>
        </is>
      </c>
      <c r="C4" t="n">
        <v>1.7528</v>
      </c>
      <c r="D4" s="5">
        <f>C4*2.25</f>
        <v/>
      </c>
      <c r="E4" s="14">
        <f>C4/$C$9</f>
        <v/>
      </c>
      <c r="F4" s="2" t="inlineStr">
        <is>
          <t>Derived (wall-clock split of the measured total)</t>
        </is>
      </c>
      <c r="G4" s="2" t="inlineStr">
        <is>
          <t>Repo read, BRD, units of work, acceptance criteria</t>
        </is>
      </c>
    </row>
    <row r="5">
      <c r="A5" s="2" t="inlineStr">
        <is>
          <t>Construction (upgrades + refactors)</t>
        </is>
      </c>
      <c r="B5" t="inlineStr">
        <is>
          <t>Construction</t>
        </is>
      </c>
      <c r="C5" t="n">
        <v>10.7548</v>
      </c>
      <c r="D5" s="5">
        <f>C5*2.25</f>
        <v/>
      </c>
      <c r="E5" s="14">
        <f>C5/$C$9</f>
        <v/>
      </c>
      <c r="F5" s="2" t="inlineStr">
        <is>
          <t>Derived (wall-clock split of the measured total)</t>
        </is>
      </c>
      <c r="G5" s="2" t="inlineStr">
        <is>
          <t>11 Angular major bumps, RxJS 7, angular-eslint, standalone, control flow, application builder, Playwright, ops config</t>
        </is>
      </c>
    </row>
    <row r="6">
      <c r="A6" s="2" t="inlineStr">
        <is>
          <t>Operation</t>
        </is>
      </c>
      <c r="B6" t="inlineStr">
        <is>
          <t>Construction</t>
        </is>
      </c>
      <c r="C6" t="n">
        <v>0.5525</v>
      </c>
      <c r="D6" s="5">
        <f>C6*2.25</f>
        <v/>
      </c>
      <c r="E6" s="14">
        <f>C6/$C$9</f>
        <v/>
      </c>
      <c r="F6" s="2" t="inlineStr">
        <is>
          <t>Derived (wall-clock split of the measured total)</t>
        </is>
      </c>
      <c r="G6" s="2" t="inlineStr">
        <is>
          <t>PR #35 raised with the migration summary</t>
        </is>
      </c>
    </row>
    <row r="7">
      <c r="A7" s="2" t="inlineStr">
        <is>
          <t>Validation</t>
        </is>
      </c>
      <c r="B7" t="inlineStr">
        <is>
          <t>Construction</t>
        </is>
      </c>
      <c r="C7" t="n">
        <v>5.6204</v>
      </c>
      <c r="D7" s="5">
        <f>C7*2.25</f>
        <v/>
      </c>
      <c r="E7" s="14">
        <f>C7/$C$9</f>
        <v/>
      </c>
      <c r="F7" s="2" t="inlineStr">
        <is>
          <t>Derived (wall-clock split of the measured total)</t>
        </is>
      </c>
      <c r="G7" s="2" t="inlineStr">
        <is>
          <t>Production build, service-worker/manifest serve check, adversarial test plan, browser-testing handoff</t>
        </is>
      </c>
    </row>
    <row r="8">
      <c r="A8" s="2" t="inlineStr">
        <is>
          <t>Governance / AIDLC tooling (optional)</t>
        </is>
      </c>
      <c r="B8" t="inlineStr">
        <is>
          <t>own row, last</t>
        </is>
      </c>
      <c r="C8" t="n">
        <v>1.5718</v>
      </c>
      <c r="D8" s="5">
        <f>C8*2.25</f>
        <v/>
      </c>
      <c r="E8" s="14">
        <f>C8/$C$9</f>
        <v/>
      </c>
      <c r="F8" s="2" t="inlineStr">
        <is>
          <t>Derived (wall-clock split of the measured total)</t>
        </is>
      </c>
      <c r="G8" s="2" t="inlineStr">
        <is>
          <t>Prompt-prefix generator and cost tooling - reusable asset, not required by the migration</t>
        </is>
      </c>
    </row>
    <row r="9">
      <c r="A9" s="12" t="inlineStr">
        <is>
          <t>MIGRATION TOTAL</t>
        </is>
      </c>
      <c r="C9" s="12">
        <f>SUM(C4:C8)</f>
        <v/>
      </c>
      <c r="D9" s="5">
        <f>C9*2.25</f>
        <v/>
      </c>
      <c r="E9" s="14">
        <f>C9/$C$9</f>
        <v/>
      </c>
      <c r="F9" s="12" t="inlineStr">
        <is>
          <t>MEASURED: 20.2524 ACUs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13" t="inlineStr">
        <is>
          <t>What Devin charges for</t>
        </is>
      </c>
    </row>
    <row r="3">
      <c r="A3" s="3" t="inlineStr">
        <is>
          <t>Billable unit</t>
        </is>
      </c>
      <c r="B3" s="3" t="inlineStr">
        <is>
          <t>Price</t>
        </is>
      </c>
      <c r="C3" s="3" t="inlineStr">
        <is>
          <t>Billed?</t>
        </is>
      </c>
      <c r="D3" s="3" t="inlineStr">
        <is>
          <t>Note</t>
        </is>
      </c>
    </row>
    <row r="4">
      <c r="A4" t="inlineStr">
        <is>
          <t>ACU (Agent Compute Unit)</t>
        </is>
      </c>
      <c r="B4" t="inlineStr">
        <is>
          <t>$2.25 per ACU</t>
        </is>
      </c>
      <c r="C4" s="12" t="inlineStr">
        <is>
          <t>YES</t>
        </is>
      </c>
      <c r="D4" s="2" t="inlineStr">
        <is>
          <t>Only billable unit. Enterprise price is set on the order form; $2.25 is the list-price assumption.</t>
        </is>
      </c>
    </row>
    <row r="5">
      <c r="A5" t="inlineStr">
        <is>
          <t>Input tokens</t>
        </is>
      </c>
      <c r="B5" t="inlineStr">
        <is>
          <t>$0.00</t>
        </is>
      </c>
      <c r="C5" s="12" t="inlineStr">
        <is>
          <t>No</t>
        </is>
      </c>
      <c r="D5" s="2" t="inlineStr">
        <is>
          <t>Not billed and not exposed as a billing field by Devin.</t>
        </is>
      </c>
    </row>
    <row r="6">
      <c r="A6" t="inlineStr">
        <is>
          <t>Cache write tokens</t>
        </is>
      </c>
      <c r="B6" t="inlineStr">
        <is>
          <t>$0.00</t>
        </is>
      </c>
      <c r="C6" s="12" t="inlineStr">
        <is>
          <t>No</t>
        </is>
      </c>
      <c r="D6" s="2" t="inlineStr">
        <is>
          <t>Not billed. Prompt caching shows up only as fewer ACUs.</t>
        </is>
      </c>
    </row>
    <row r="7">
      <c r="A7" t="inlineStr">
        <is>
          <t>Cache read tokens</t>
        </is>
      </c>
      <c r="B7" t="inlineStr">
        <is>
          <t>$0.00</t>
        </is>
      </c>
      <c r="C7" s="12" t="inlineStr">
        <is>
          <t>No</t>
        </is>
      </c>
      <c r="D7" s="2" t="inlineStr">
        <is>
          <t>Not billed.</t>
        </is>
      </c>
    </row>
    <row r="8">
      <c r="A8" t="inlineStr">
        <is>
          <t>Output tokens</t>
        </is>
      </c>
      <c r="B8" t="inlineStr">
        <is>
          <t>$0.00</t>
        </is>
      </c>
      <c r="C8" s="12" t="inlineStr">
        <is>
          <t>No</t>
        </is>
      </c>
      <c r="D8" s="2" t="inlineStr">
        <is>
          <t>Not billed.</t>
        </is>
      </c>
    </row>
    <row r="10">
      <c r="A10" s="13" t="inlineStr">
        <is>
          <t>Measured Devin token rates (tokens per ACU)</t>
        </is>
      </c>
    </row>
    <row r="11">
      <c r="A11" s="3" t="inlineStr">
        <is>
          <t>Region</t>
        </is>
      </c>
      <c r="B11" s="3" t="inlineStr">
        <is>
          <t>Telemetry window</t>
        </is>
      </c>
      <c r="C11" s="3" t="inlineStr">
        <is>
          <t>Iterations</t>
        </is>
      </c>
      <c r="D11" s="3" t="inlineStr">
        <is>
          <t>ACUs in window</t>
        </is>
      </c>
      <c r="E11" s="3" t="inlineStr">
        <is>
          <t>Cache read / ACU</t>
        </is>
      </c>
      <c r="F11" s="3" t="inlineStr">
        <is>
          <t>Cache write / ACU</t>
        </is>
      </c>
      <c r="G11" s="3" t="inlineStr">
        <is>
          <t>Input / ACU</t>
        </is>
      </c>
      <c r="H11" s="3" t="inlineStr">
        <is>
          <t>Output / ACU</t>
        </is>
      </c>
    </row>
    <row r="12">
      <c r="A12" t="inlineStr">
        <is>
          <t>Construction (migration)</t>
        </is>
      </c>
      <c r="B12" s="2" t="inlineStr">
        <is>
          <t>2026-08-28T17:06:25Z -&gt; 2026-08-28T17:18:47Z (iterations 1-57, 40 samples)</t>
        </is>
      </c>
      <c r="C12" t="n">
        <v>56</v>
      </c>
      <c r="D12" t="n">
        <v>7.0588</v>
      </c>
      <c r="E12" s="4" t="n">
        <v>620093</v>
      </c>
      <c r="F12" s="4" t="n">
        <v>9650</v>
      </c>
      <c r="G12" s="4" t="n">
        <v>4544</v>
      </c>
      <c r="H12" s="4" t="n">
        <v>5107</v>
      </c>
    </row>
    <row r="13">
      <c r="A13" t="inlineStr">
        <is>
          <t>Reporting (post-delivery Q&amp;A)</t>
        </is>
      </c>
      <c r="B13" s="2" t="inlineStr">
        <is>
          <t>2026-09-01T10:57:22Z -&gt; 2026-09-01T11:04:31Z (iterations 200-225, 7 samples)</t>
        </is>
      </c>
      <c r="C13" t="n">
        <v>25</v>
      </c>
      <c r="D13" t="n">
        <v>2.7049</v>
      </c>
      <c r="E13" s="4" t="n">
        <v>1062315</v>
      </c>
      <c r="F13" s="4" t="n">
        <v>29888</v>
      </c>
      <c r="G13" s="4" t="n">
        <v>15784</v>
      </c>
      <c r="H13" s="4" t="n">
        <v>14103</v>
      </c>
    </row>
    <row r="15">
      <c r="A15" s="2" t="inlineStr">
        <is>
          <t>Every token cell on the 'AIDLC token &amp; ACU' sheet = that phase's ACUs x the construction rate above. The rates are measured, not assumed: context telemetry of a fully sampled window divided by the ACUs consumed in the same window.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78" customWidth="1" min="3" max="3"/>
    <col width="34" customWidth="1" min="4" max="4"/>
  </cols>
  <sheetData>
    <row r="1">
      <c r="A1" s="3" t="inlineStr">
        <is>
          <t>Figure</t>
        </is>
      </c>
      <c r="B1" s="3" t="inlineStr">
        <is>
          <t>Value</t>
        </is>
      </c>
      <c r="C1" s="3" t="inlineStr">
        <is>
          <t>How it was obtained</t>
        </is>
      </c>
      <c r="D1" s="3" t="inlineStr">
        <is>
          <t>Basis</t>
        </is>
      </c>
    </row>
    <row r="2">
      <c r="A2" t="inlineStr">
        <is>
          <t>Migration ACUs</t>
        </is>
      </c>
      <c r="B2" s="2" t="n">
        <v>20.2524</v>
      </c>
      <c r="C2" s="2" t="inlineStr">
        <is>
          <t>Devin session API: acus_consumed at end of migration work minus 0 at session start (2026-08-28 17:06:16Z -&gt; 17:52:44Z)</t>
        </is>
      </c>
      <c r="D2" s="2" t="inlineStr">
        <is>
          <t>MEASURED</t>
        </is>
      </c>
    </row>
    <row r="3">
      <c r="A3" t="inlineStr">
        <is>
          <t>Post-delivery reporting ACUs</t>
        </is>
      </c>
      <c r="B3" s="2" t="n">
        <v>13.8651</v>
      </c>
      <c r="C3" s="2" t="inlineStr">
        <is>
          <t>Sum of acu_consumption_at_last_user_interaction deltas for the 7 reporting requests (excluded from the phase table)</t>
        </is>
      </c>
      <c r="D3" s="2" t="inlineStr">
        <is>
          <t>MEASURED</t>
        </is>
      </c>
    </row>
    <row r="4">
      <c r="A4" t="inlineStr">
        <is>
          <t>Price per ACU</t>
        </is>
      </c>
      <c r="B4" s="2" t="n">
        <v>2.25</v>
      </c>
      <c r="C4" s="2" t="inlineStr">
        <is>
          <t>Devin list-price assumption; enterprise rate is set on your order form. Re-run with --rate to change it</t>
        </is>
      </c>
      <c r="D4" s="2" t="inlineStr">
        <is>
          <t>ASSUMPTION</t>
        </is>
      </c>
    </row>
    <row r="5">
      <c r="A5" t="inlineStr">
        <is>
          <t>Dollar Value column</t>
        </is>
      </c>
      <c r="B5" s="2" t="inlineStr">
        <is>
          <t>ACUs x rate</t>
        </is>
      </c>
      <c r="C5" s="2" t="inlineStr">
        <is>
          <t>Live formula (=I&lt;row&gt;*rate); totals are =SUM() over the phase rows</t>
        </is>
      </c>
      <c r="D5" s="2" t="inlineStr">
        <is>
          <t>MEASURED x ASSUMPTION</t>
        </is>
      </c>
    </row>
    <row r="6">
      <c r="A6" t="inlineStr">
        <is>
          <t>Phase ACUs</t>
        </is>
      </c>
      <c r="B6" s="2" t="inlineStr">
        <is>
          <t>3 merged rows</t>
        </is>
      </c>
      <c r="C6" s="2" t="inlineStr">
        <is>
          <t>Measured migration total split pro rata by wall-clock duration of the 17 underlying tasks, then summed per phase. Devin exposes no per-task ACU counter</t>
        </is>
      </c>
      <c r="D6" s="2" t="inlineStr">
        <is>
          <t>DERIVED</t>
        </is>
      </c>
    </row>
    <row r="7">
      <c r="A7" t="inlineStr">
        <is>
          <t>Cache read tokens</t>
        </is>
      </c>
      <c r="B7" s="2" t="inlineStr">
        <is>
          <t>4,377,122 in the construction window</t>
        </is>
      </c>
      <c r="C7" s="2" t="inlineStr">
        <is>
          <t>context_growth_update: context resident before each iteration, i.e. the prefix a cache serves</t>
        </is>
      </c>
      <c r="D7" s="2" t="inlineStr">
        <is>
          <t>MEASURED (proxy for cache_read_input_tokens)</t>
        </is>
      </c>
    </row>
    <row r="8">
      <c r="A8" t="inlineStr">
        <is>
          <t>Cache write tokens</t>
        </is>
      </c>
      <c r="B8" s="2" t="inlineStr">
        <is>
          <t>68,120 in the construction window</t>
        </is>
      </c>
      <c r="C8" s="2" t="inlineStr">
        <is>
          <t>Positive delta of current_context_tokens between iterations</t>
        </is>
      </c>
      <c r="D8" s="2" t="inlineStr">
        <is>
          <t>MEASURED (proxy)</t>
        </is>
      </c>
    </row>
    <row r="9">
      <c r="A9" t="inlineStr">
        <is>
          <t>Input tokens</t>
        </is>
      </c>
      <c r="B9" s="2" t="inlineStr">
        <is>
          <t>32,074 in the construction window</t>
        </is>
      </c>
      <c r="C9" s="2" t="inlineStr">
        <is>
          <t>Share of new tokens attributable to tool results (delta total_tool_output_bytes / bytes-per-token)</t>
        </is>
      </c>
      <c r="D9" s="2" t="inlineStr">
        <is>
          <t>MEASURED (proxy)</t>
        </is>
      </c>
    </row>
    <row r="10">
      <c r="A10" t="inlineStr">
        <is>
          <t>Output tokens</t>
        </is>
      </c>
      <c r="B10" s="2" t="inlineStr">
        <is>
          <t>36,046 in the construction window</t>
        </is>
      </c>
      <c r="C10" s="2" t="inlineStr">
        <is>
          <t>New tokens minus tool-result tokens = model-generated text and tool calls</t>
        </is>
      </c>
      <c r="D10" s="2" t="inlineStr">
        <is>
          <t>MEASURED (proxy)</t>
        </is>
      </c>
    </row>
    <row r="11">
      <c r="A11" t="inlineStr">
        <is>
          <t>Token rate per ACU</t>
        </is>
      </c>
      <c r="B11" s="2" t="inlineStr">
        <is>
          <t>see 'Rate card &amp; token rates'</t>
        </is>
      </c>
      <c r="C11" s="2" t="inlineStr">
        <is>
          <t>Construction: window tokens / 7.0588 ACUs consumed in the same window</t>
        </is>
      </c>
      <c r="D11" s="2" t="inlineStr">
        <is>
          <t>MEASURED</t>
        </is>
      </c>
    </row>
    <row r="12">
      <c r="A12" t="inlineStr">
        <is>
          <t>Model / agent mode</t>
        </is>
      </c>
      <c r="B12" s="2" t="inlineStr">
        <is>
          <t>Not exposed</t>
        </is>
      </c>
      <c r="C12" s="2" t="inlineStr">
        <is>
          <t>The Devin session API returns no model identity or agent mode for a completed session, and Devin publishes no per-mode ACU multiplier. Measure it with a controlled A/B re-run instead</t>
        </is>
      </c>
      <c r="D12" s="2" t="inlineStr">
        <is>
          <t>NOT AVAILABLE</t>
        </is>
      </c>
    </row>
    <row r="13">
      <c r="A13" t="inlineStr">
        <is>
          <t>Migration outcome</t>
        </is>
      </c>
      <c r="B13" s="2" t="inlineStr">
        <is>
          <t>PR #35, lint clean, 6/6 unit specs, dev+prod build, 3/3 Playwright e2e</t>
        </is>
      </c>
      <c r="C13" s="2" t="inlineStr">
        <is>
          <t>Local command output on branch devin/1787936828-ng9-to-ng20-migration</t>
        </is>
      </c>
      <c r="D13" s="2" t="inlineStr">
        <is>
          <t>MEASURED</t>
        </is>
      </c>
    </row>
    <row r="14">
      <c r="A14" t="inlineStr">
        <is>
          <t>Browser end-to-end run</t>
        </is>
      </c>
      <c r="B14" s="2" t="inlineStr">
        <is>
          <t>Not completed</t>
        </is>
      </c>
      <c r="C14" s="2" t="inlineStr">
        <is>
          <t>The persistent testing-agent run was suspended with usage_limit_exceeded; no recording exists</t>
        </is>
      </c>
      <c r="D14" s="2" t="inlineStr">
        <is>
          <t>NOT 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  <col width="16" customWidth="1" min="4" max="4"/>
    <col width="16" customWidth="1" min="5" max="5"/>
    <col width="11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>
      <c r="A1" s="13" t="inlineStr">
        <is>
          <t>Prompt cache / context reuse (measured)</t>
        </is>
      </c>
    </row>
    <row r="2">
      <c r="A2" s="2" t="inlineStr">
        <is>
          <t>PROXY: context already resident at the start of an iteration (current_context_tokens of the previous iteration). A prompt cache serves exactly this prefix as a cache read. Devin does not expose Claude's cache_read_input_tokens.</t>
        </is>
      </c>
    </row>
    <row r="4">
      <c r="A4" s="3" t="inlineStr">
        <is>
          <t>Window</t>
        </is>
      </c>
      <c r="B4" s="3" t="inlineStr">
        <is>
          <t>Iterations</t>
        </is>
      </c>
      <c r="C4" s="3" t="inlineStr">
        <is>
          <t>Prompt tokens processed</t>
        </is>
      </c>
      <c r="D4" s="3" t="inlineStr">
        <is>
          <t>Cache read (reused prefix)</t>
        </is>
      </c>
      <c r="E4" s="3" t="inlineStr">
        <is>
          <t>Cache write (new tokens)</t>
        </is>
      </c>
      <c r="F4" s="3" t="inlineStr">
        <is>
          <t>Hit rate %</t>
        </is>
      </c>
      <c r="G4" s="3" t="inlineStr">
        <is>
          <t>New tokens / iteration</t>
        </is>
      </c>
      <c r="H4" s="3" t="inlineStr">
        <is>
          <t>Avg context size</t>
        </is>
      </c>
      <c r="I4" s="3" t="inlineStr">
        <is>
          <t>Input tokens</t>
        </is>
      </c>
      <c r="J4" s="3" t="inlineStr">
        <is>
          <t>Output tokens</t>
        </is>
      </c>
    </row>
    <row r="5">
      <c r="A5" t="inlineStr">
        <is>
          <t>Construction, iterations 1-57</t>
        </is>
      </c>
      <c r="B5" t="n">
        <v>56</v>
      </c>
      <c r="C5" s="4" t="n">
        <v>4445242</v>
      </c>
      <c r="D5" s="4" t="n">
        <v>4377122</v>
      </c>
      <c r="E5" s="4" t="n">
        <v>68120</v>
      </c>
      <c r="F5" t="n">
        <v>98.47</v>
      </c>
      <c r="G5" s="4" t="n">
        <v>1216</v>
      </c>
      <c r="H5" s="4" t="n">
        <v>78163</v>
      </c>
      <c r="I5" s="4" t="n">
        <v>32074</v>
      </c>
      <c r="J5" s="4" t="n">
        <v>36046</v>
      </c>
    </row>
    <row r="6">
      <c r="A6" t="inlineStr">
        <is>
          <t>Reporting, iterations 200-225</t>
        </is>
      </c>
      <c r="B6" t="n">
        <v>25</v>
      </c>
      <c r="C6" s="4" t="n">
        <v>2954304</v>
      </c>
      <c r="D6" s="4" t="n">
        <v>2873461</v>
      </c>
      <c r="E6" s="4" t="n">
        <v>80843</v>
      </c>
      <c r="F6" t="n">
        <v>97.26000000000001</v>
      </c>
      <c r="G6" s="4" t="n">
        <v>3234</v>
      </c>
      <c r="H6" s="4" t="n">
        <v>114938</v>
      </c>
      <c r="I6" s="4" t="n">
        <v>42695</v>
      </c>
      <c r="J6" s="4" t="n">
        <v>38148</v>
      </c>
    </row>
    <row r="8">
      <c r="A8" s="2" t="inlineStr">
        <is>
          <t>98.47% of tokens processed during construction were reused prefix - the byte-stable prompt prefix (package.json + angular.json + tsconfigs + file tree + conventions) did its job; the token side is saturated.</t>
        </is>
      </c>
    </row>
    <row r="9">
      <c r="A9" s="2" t="inlineStr">
        <is>
          <t>Reporting turns write 3,234 new tokens per iteration vs 1,216 during construction: explaining the migration is 2.7x more token-dense per iteration than performing it.</t>
        </is>
      </c>
    </row>
    <row r="10">
      <c r="A10" s="2" t="inlineStr">
        <is>
          <t>Peak context 148,037 tokens; two compaction events (iterations 197-&gt;200 and 221-&gt;225) discarded context, so negative deltas are excluded from cache-write.</t>
        </is>
      </c>
    </row>
    <row r="11">
      <c r="A11" s="2" t="inlineStr">
        <is>
          <t>Devin never charges for any of this: cache efficiency reaches the invoice only as fewer ACUs.</t>
        </is>
      </c>
    </row>
  </sheetData>
  <mergeCells count="4">
    <mergeCell ref="A10:J10"/>
    <mergeCell ref="A9:J9"/>
    <mergeCell ref="A8:J8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15" customWidth="1" min="5" max="5"/>
    <col width="17" customWidth="1" min="6" max="6"/>
    <col width="20" customWidth="1" min="7" max="7"/>
    <col width="22" customWidth="1" min="8" max="8"/>
  </cols>
  <sheetData>
    <row r="1">
      <c r="A1" s="13" t="inlineStr">
        <is>
          <t>Devin's token volume priced at the Claude rate card (comparison only - Devin bills none of this)</t>
        </is>
      </c>
    </row>
    <row r="2">
      <c r="A2" s="15" t="inlineStr">
        <is>
          <t>Rates below are the ones in the customer's Anthropic workbook. This sheet answers 'how does the ACU bill compare with a token bill for the same work?' It is a comparison, not an invoice.</t>
        </is>
      </c>
    </row>
    <row r="4">
      <c r="A4" s="3" t="inlineStr">
        <is>
          <t>Model</t>
        </is>
      </c>
      <c r="B4" s="3" t="inlineStr">
        <is>
          <t>Input $/M</t>
        </is>
      </c>
      <c r="C4" s="3" t="inlineStr">
        <is>
          <t>Cache write $/M</t>
        </is>
      </c>
      <c r="D4" s="3" t="inlineStr">
        <is>
          <t>Cache read $/M</t>
        </is>
      </c>
      <c r="E4" s="3" t="inlineStr">
        <is>
          <t>Output $/M</t>
        </is>
      </c>
    </row>
    <row r="5">
      <c r="A5" t="inlineStr">
        <is>
          <t>Opus</t>
        </is>
      </c>
      <c r="B5" t="n">
        <v>5</v>
      </c>
      <c r="C5" t="n">
        <v>6.25</v>
      </c>
      <c r="D5" t="n">
        <v>0.5</v>
      </c>
      <c r="E5" t="n">
        <v>25</v>
      </c>
    </row>
    <row r="6">
      <c r="A6" t="inlineStr">
        <is>
          <t>Sonnet 4.6</t>
        </is>
      </c>
      <c r="B6" t="n">
        <v>3</v>
      </c>
      <c r="C6" t="n">
        <v>2.5</v>
      </c>
      <c r="D6" t="n">
        <v>0.3</v>
      </c>
      <c r="E6" t="n">
        <v>15</v>
      </c>
    </row>
    <row r="8">
      <c r="A8" s="3" t="inlineStr">
        <is>
          <t>Scope</t>
        </is>
      </c>
      <c r="B8" s="3" t="inlineStr">
        <is>
          <t>Input tokens</t>
        </is>
      </c>
      <c r="C8" s="3" t="inlineStr">
        <is>
          <t>Cache write tokens</t>
        </is>
      </c>
      <c r="D8" s="3" t="inlineStr">
        <is>
          <t>Cache read tokens</t>
        </is>
      </c>
      <c r="E8" s="3" t="inlineStr">
        <is>
          <t>Output tokens</t>
        </is>
      </c>
      <c r="F8" s="3" t="inlineStr">
        <is>
          <t>Token cost @ Opus</t>
        </is>
      </c>
      <c r="G8" s="3" t="inlineStr">
        <is>
          <t>Token cost @ Sonnet 4.6</t>
        </is>
      </c>
      <c r="H8" s="3" t="inlineStr">
        <is>
          <t>Actual Devin bill (ACUs)</t>
        </is>
      </c>
    </row>
    <row r="9">
      <c r="A9" t="inlineStr">
        <is>
          <t>Migration delivery</t>
        </is>
      </c>
      <c r="B9" s="4" t="n">
        <v>92023</v>
      </c>
      <c r="C9" s="4" t="n">
        <v>195443</v>
      </c>
      <c r="D9" s="4" t="n">
        <v>12558382</v>
      </c>
      <c r="E9" s="4" t="n">
        <v>103419</v>
      </c>
      <c r="F9" s="5" t="n">
        <v>10.55</v>
      </c>
      <c r="G9" s="5" t="n">
        <v>6.08</v>
      </c>
      <c r="H9" s="5" t="n">
        <v>45.57</v>
      </c>
    </row>
    <row r="10">
      <c r="A10" t="inlineStr">
        <is>
          <t>Post-delivery reporting</t>
        </is>
      </c>
      <c r="B10" s="4" t="n">
        <v>218851</v>
      </c>
      <c r="C10" s="4" t="n">
        <v>414394</v>
      </c>
      <c r="D10" s="4" t="n">
        <v>14729098</v>
      </c>
      <c r="E10" s="4" t="n">
        <v>195543</v>
      </c>
      <c r="F10" s="5" t="n">
        <v>15.94</v>
      </c>
      <c r="G10" s="5" t="n">
        <v>9.039999999999999</v>
      </c>
      <c r="H10" s="5" t="n">
        <v>31.2</v>
      </c>
    </row>
    <row r="11">
      <c r="A11" t="inlineStr">
        <is>
          <t>Session total</t>
        </is>
      </c>
      <c r="B11" s="4" t="n">
        <v>310874</v>
      </c>
      <c r="C11" s="4" t="n">
        <v>609837</v>
      </c>
      <c r="D11" s="4" t="n">
        <v>27287481</v>
      </c>
      <c r="E11" s="4" t="n">
        <v>298963</v>
      </c>
      <c r="F11" s="5" t="n">
        <v>26.48</v>
      </c>
      <c r="G11" s="5" t="n">
        <v>15.13</v>
      </c>
      <c r="H11" s="5" t="n">
        <v>76.76000000000001</v>
      </c>
    </row>
    <row r="13">
      <c r="A13" s="15" t="inlineStr">
        <is>
          <t>Not like-for-like: the token bill covers model inference only, the ACU bill covers inference plus the VM, the browser, every npm install and build, and the agent loop.</t>
        </is>
      </c>
    </row>
  </sheetData>
  <mergeCells count="1">
    <mergeCell ref="A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4" customWidth="1" min="4" max="4"/>
    <col width="22" customWidth="1" min="5" max="5"/>
    <col width="24" customWidth="1" min="6" max="6"/>
    <col width="30" customWidth="1" min="7" max="7"/>
  </cols>
  <sheetData>
    <row r="1">
      <c r="A1" s="2" t="inlineStr">
        <is>
          <t>Devin session API, event type context_growth_update, session devin-b089339539c84cfb8fe4913619e49d66 (50 sampled agent iterations, 1..235)</t>
        </is>
      </c>
    </row>
    <row r="3">
      <c r="A3" s="3" t="inlineStr">
        <is>
          <t>Timestamp (UTC)</t>
        </is>
      </c>
      <c r="B3" s="3" t="inlineStr">
        <is>
          <t>Iteration</t>
        </is>
      </c>
      <c r="C3" s="3" t="inlineStr">
        <is>
          <t>Context tokens</t>
        </is>
      </c>
      <c r="D3" s="3" t="inlineStr">
        <is>
          <t>Context bytes</t>
        </is>
      </c>
      <c r="E3" s="3" t="inlineStr">
        <is>
          <t>Tool-output bytes (cum.)</t>
        </is>
      </c>
      <c r="F3" s="3" t="inlineStr">
        <is>
          <t>Tool-invocation bytes (cum.)</t>
        </is>
      </c>
      <c r="G3" s="3" t="inlineStr">
        <is>
          <t>Delta context tokens vs previous sample</t>
        </is>
      </c>
    </row>
    <row r="4">
      <c r="A4" t="inlineStr">
        <is>
          <t>2026-08-28T17:06:25Z</t>
        </is>
      </c>
      <c r="B4" t="n">
        <v>1</v>
      </c>
      <c r="C4" s="4" t="n">
        <v>34730</v>
      </c>
      <c r="D4" s="4" t="n">
        <v>62691</v>
      </c>
      <c r="E4" s="4" t="n">
        <v>7471</v>
      </c>
      <c r="F4" s="4" t="n">
        <v>310</v>
      </c>
    </row>
    <row r="5">
      <c r="A5" t="inlineStr">
        <is>
          <t>2026-08-28T17:06:29Z</t>
        </is>
      </c>
      <c r="B5" t="n">
        <v>2</v>
      </c>
      <c r="C5" s="4" t="n">
        <v>38863</v>
      </c>
      <c r="D5" s="4" t="n">
        <v>71918</v>
      </c>
      <c r="E5" s="4" t="n">
        <v>18294</v>
      </c>
      <c r="F5" s="4" t="n">
        <v>487</v>
      </c>
      <c r="G5" s="4" t="n">
        <v>4133</v>
      </c>
    </row>
    <row r="6">
      <c r="A6" t="inlineStr">
        <is>
          <t>2026-08-28T17:06:32Z</t>
        </is>
      </c>
      <c r="B6" t="n">
        <v>3</v>
      </c>
      <c r="C6" s="4" t="n">
        <v>44822</v>
      </c>
      <c r="D6" s="4" t="n">
        <v>84954</v>
      </c>
      <c r="E6" s="4" t="n">
        <v>20712</v>
      </c>
      <c r="F6" s="4" t="n">
        <v>601</v>
      </c>
      <c r="G6" s="4" t="n">
        <v>5959</v>
      </c>
    </row>
    <row r="7">
      <c r="A7" t="inlineStr">
        <is>
          <t>2026-08-28T17:06:42Z</t>
        </is>
      </c>
      <c r="B7" t="n">
        <v>4</v>
      </c>
      <c r="C7" s="4" t="n">
        <v>46325</v>
      </c>
      <c r="D7" s="4" t="n">
        <v>88596</v>
      </c>
      <c r="E7" s="4" t="n">
        <v>37068</v>
      </c>
      <c r="F7" s="4" t="n">
        <v>1944</v>
      </c>
      <c r="G7" s="4" t="n">
        <v>1503</v>
      </c>
    </row>
    <row r="8">
      <c r="A8" t="inlineStr">
        <is>
          <t>2026-08-28T17:06:48Z</t>
        </is>
      </c>
      <c r="B8" t="n">
        <v>5</v>
      </c>
      <c r="C8" s="4" t="n">
        <v>53798</v>
      </c>
      <c r="D8" s="4" t="n">
        <v>106816</v>
      </c>
      <c r="E8" s="4" t="n">
        <v>37764</v>
      </c>
      <c r="F8" s="4" t="n">
        <v>2067</v>
      </c>
      <c r="G8" s="4" t="n">
        <v>7473</v>
      </c>
    </row>
    <row r="9">
      <c r="A9" t="inlineStr">
        <is>
          <t>2026-08-28T17:07:02Z</t>
        </is>
      </c>
      <c r="B9" t="n">
        <v>6</v>
      </c>
      <c r="C9" s="4" t="n">
        <v>54348</v>
      </c>
      <c r="D9" s="4" t="n">
        <v>108761</v>
      </c>
      <c r="E9" s="4" t="n">
        <v>43273</v>
      </c>
      <c r="F9" s="4" t="n">
        <v>2407</v>
      </c>
      <c r="G9" s="4" t="n">
        <v>550</v>
      </c>
    </row>
    <row r="10">
      <c r="A10" t="inlineStr">
        <is>
          <t>2026-08-28T17:07:08Z</t>
        </is>
      </c>
      <c r="B10" t="n">
        <v>7</v>
      </c>
      <c r="C10" s="4" t="n">
        <v>57223</v>
      </c>
      <c r="D10" s="4" t="n">
        <v>118468</v>
      </c>
      <c r="E10" s="4" t="n">
        <v>44046</v>
      </c>
      <c r="F10" s="4" t="n">
        <v>2621</v>
      </c>
      <c r="G10" s="4" t="n">
        <v>2875</v>
      </c>
    </row>
    <row r="11">
      <c r="A11" t="inlineStr">
        <is>
          <t>2026-08-28T17:08:11Z</t>
        </is>
      </c>
      <c r="B11" t="n">
        <v>8</v>
      </c>
      <c r="C11" s="4" t="n">
        <v>58063</v>
      </c>
      <c r="D11" s="4" t="n">
        <v>120977</v>
      </c>
      <c r="E11" s="4" t="n">
        <v>44128</v>
      </c>
      <c r="F11" s="4" t="n">
        <v>12737</v>
      </c>
      <c r="G11" s="4" t="n">
        <v>840</v>
      </c>
    </row>
    <row r="12">
      <c r="A12" t="inlineStr">
        <is>
          <t>2026-08-28T17:08:44Z</t>
        </is>
      </c>
      <c r="B12" t="n">
        <v>9</v>
      </c>
      <c r="C12" s="4" t="n">
        <v>62634</v>
      </c>
      <c r="D12" s="4" t="n">
        <v>131258</v>
      </c>
      <c r="E12" s="4" t="n">
        <v>44220</v>
      </c>
      <c r="F12" s="4" t="n">
        <v>18422</v>
      </c>
      <c r="G12" s="4" t="n">
        <v>4571</v>
      </c>
    </row>
    <row r="13">
      <c r="A13" t="inlineStr">
        <is>
          <t>2026-08-28T17:08:53Z</t>
        </is>
      </c>
      <c r="B13" t="n">
        <v>10</v>
      </c>
      <c r="C13" s="4" t="n">
        <v>65242</v>
      </c>
      <c r="D13" s="4" t="n">
        <v>137075</v>
      </c>
      <c r="E13" s="4" t="n">
        <v>45348</v>
      </c>
      <c r="F13" s="4" t="n">
        <v>18585</v>
      </c>
      <c r="G13" s="4" t="n">
        <v>2608</v>
      </c>
    </row>
    <row r="14">
      <c r="A14" t="inlineStr">
        <is>
          <t>2026-08-28T17:09:16Z</t>
        </is>
      </c>
      <c r="B14" t="n">
        <v>11</v>
      </c>
      <c r="C14" s="4" t="n">
        <v>66137</v>
      </c>
      <c r="D14" s="4" t="n">
        <v>140190</v>
      </c>
      <c r="E14" s="4" t="n">
        <v>47341</v>
      </c>
      <c r="F14" s="4" t="n">
        <v>18735</v>
      </c>
      <c r="G14" s="4" t="n">
        <v>895</v>
      </c>
    </row>
    <row r="15">
      <c r="A15" t="inlineStr">
        <is>
          <t>2026-08-28T17:09:20Z</t>
        </is>
      </c>
      <c r="B15" t="n">
        <v>12</v>
      </c>
      <c r="C15" s="4" t="n">
        <v>67274</v>
      </c>
      <c r="D15" s="4" t="n">
        <v>142949</v>
      </c>
      <c r="E15" s="4" t="n">
        <v>48302</v>
      </c>
      <c r="F15" s="4" t="n">
        <v>19021</v>
      </c>
      <c r="G15" s="4" t="n">
        <v>1137</v>
      </c>
    </row>
    <row r="16">
      <c r="A16" t="inlineStr">
        <is>
          <t>2026-08-28T17:09:39Z</t>
        </is>
      </c>
      <c r="B16" t="n">
        <v>14</v>
      </c>
      <c r="C16" s="4" t="n">
        <v>68386</v>
      </c>
      <c r="D16" s="4" t="n">
        <v>145802</v>
      </c>
      <c r="E16" s="4" t="n">
        <v>49659</v>
      </c>
      <c r="F16" s="4" t="n">
        <v>19431</v>
      </c>
      <c r="G16" s="4" t="n">
        <v>1112</v>
      </c>
    </row>
    <row r="17">
      <c r="A17" t="inlineStr">
        <is>
          <t>2026-08-28T17:09:46Z</t>
        </is>
      </c>
      <c r="B17" t="n">
        <v>15</v>
      </c>
      <c r="C17" s="4" t="n">
        <v>69055</v>
      </c>
      <c r="D17" s="4" t="n">
        <v>148362</v>
      </c>
      <c r="E17" s="4" t="n">
        <v>50552</v>
      </c>
      <c r="F17" s="4" t="n">
        <v>19637</v>
      </c>
      <c r="G17" s="4" t="n">
        <v>669</v>
      </c>
    </row>
    <row r="18">
      <c r="A18" t="inlineStr">
        <is>
          <t>2026-08-28T17:10:16Z</t>
        </is>
      </c>
      <c r="B18" t="n">
        <v>16</v>
      </c>
      <c r="C18" s="4" t="n">
        <v>69586</v>
      </c>
      <c r="D18" s="4" t="n">
        <v>150010</v>
      </c>
      <c r="E18" s="4" t="n">
        <v>52927</v>
      </c>
      <c r="F18" s="4" t="n">
        <v>19906</v>
      </c>
      <c r="G18" s="4" t="n">
        <v>531</v>
      </c>
    </row>
    <row r="19">
      <c r="A19" t="inlineStr">
        <is>
          <t>2026-08-28T17:10:29Z</t>
        </is>
      </c>
      <c r="B19" t="n">
        <v>17</v>
      </c>
      <c r="C19" s="4" t="n">
        <v>70802</v>
      </c>
      <c r="D19" s="4" t="n">
        <v>153694</v>
      </c>
      <c r="E19" s="4" t="n">
        <v>56118</v>
      </c>
      <c r="F19" s="4" t="n">
        <v>19944</v>
      </c>
      <c r="G19" s="4" t="n">
        <v>1216</v>
      </c>
    </row>
    <row r="20">
      <c r="A20" t="inlineStr">
        <is>
          <t>2026-08-28T17:10:45Z</t>
        </is>
      </c>
      <c r="B20" t="n">
        <v>18</v>
      </c>
      <c r="C20" s="4" t="n">
        <v>72047</v>
      </c>
      <c r="D20" s="4" t="n">
        <v>156968</v>
      </c>
      <c r="E20" s="4" t="n">
        <v>56252</v>
      </c>
      <c r="F20" s="4" t="n">
        <v>20114</v>
      </c>
      <c r="G20" s="4" t="n">
        <v>1245</v>
      </c>
    </row>
    <row r="21">
      <c r="A21" t="inlineStr">
        <is>
          <t>2026-08-28T17:11:01Z</t>
        </is>
      </c>
      <c r="B21" t="n">
        <v>20</v>
      </c>
      <c r="C21" s="4" t="n">
        <v>72904</v>
      </c>
      <c r="D21" s="4" t="n">
        <v>159509</v>
      </c>
      <c r="E21" s="4" t="n">
        <v>57725</v>
      </c>
      <c r="F21" s="4" t="n">
        <v>20636</v>
      </c>
      <c r="G21" s="4" t="n">
        <v>857</v>
      </c>
    </row>
    <row r="22">
      <c r="A22" t="inlineStr">
        <is>
          <t>2026-08-28T17:11:12Z</t>
        </is>
      </c>
      <c r="B22" t="n">
        <v>21</v>
      </c>
      <c r="C22" s="4" t="n">
        <v>73986</v>
      </c>
      <c r="D22" s="4" t="n">
        <v>162527</v>
      </c>
      <c r="E22" s="4" t="n">
        <v>59256</v>
      </c>
      <c r="F22" s="4" t="n">
        <v>20851</v>
      </c>
      <c r="G22" s="4" t="n">
        <v>1082</v>
      </c>
    </row>
    <row r="23">
      <c r="A23" t="inlineStr">
        <is>
          <t>2026-08-28T17:11:25Z</t>
        </is>
      </c>
      <c r="B23" t="n">
        <v>23</v>
      </c>
      <c r="C23" s="4" t="n">
        <v>75164</v>
      </c>
      <c r="D23" s="4" t="n">
        <v>165354</v>
      </c>
      <c r="E23" s="4" t="n">
        <v>62429</v>
      </c>
      <c r="F23" s="4" t="n">
        <v>21237</v>
      </c>
      <c r="G23" s="4" t="n">
        <v>1178</v>
      </c>
    </row>
    <row r="24">
      <c r="A24" t="inlineStr">
        <is>
          <t>2026-08-28T17:11:46Z</t>
        </is>
      </c>
      <c r="B24" t="n">
        <v>24</v>
      </c>
      <c r="C24" s="4" t="n">
        <v>76604</v>
      </c>
      <c r="D24" s="4" t="n">
        <v>168614</v>
      </c>
      <c r="E24" s="4" t="n">
        <v>62813</v>
      </c>
      <c r="F24" s="4" t="n">
        <v>21431</v>
      </c>
      <c r="G24" s="4" t="n">
        <v>1440</v>
      </c>
    </row>
    <row r="25">
      <c r="A25" t="inlineStr">
        <is>
          <t>2026-08-28T17:12:14Z</t>
        </is>
      </c>
      <c r="B25" t="n">
        <v>26</v>
      </c>
      <c r="C25" s="4" t="n">
        <v>78033</v>
      </c>
      <c r="D25" s="4" t="n">
        <v>173207</v>
      </c>
      <c r="E25" s="4" t="n">
        <v>64129</v>
      </c>
      <c r="F25" s="4" t="n">
        <v>21961</v>
      </c>
      <c r="G25" s="4" t="n">
        <v>1429</v>
      </c>
    </row>
    <row r="26">
      <c r="A26" t="inlineStr">
        <is>
          <t>2026-08-28T17:12:36Z</t>
        </is>
      </c>
      <c r="B26" t="n">
        <v>28</v>
      </c>
      <c r="C26" s="4" t="n">
        <v>79094</v>
      </c>
      <c r="D26" s="4" t="n">
        <v>175228</v>
      </c>
      <c r="E26" s="4" t="n">
        <v>68653</v>
      </c>
      <c r="F26" s="4" t="n">
        <v>22168</v>
      </c>
      <c r="G26" s="4" t="n">
        <v>1061</v>
      </c>
    </row>
    <row r="27">
      <c r="A27" t="inlineStr">
        <is>
          <t>2026-08-28T17:12:46Z</t>
        </is>
      </c>
      <c r="B27" t="n">
        <v>30</v>
      </c>
      <c r="C27" s="4" t="n">
        <v>81246</v>
      </c>
      <c r="D27" s="4" t="n">
        <v>181172</v>
      </c>
      <c r="E27" s="4" t="n">
        <v>68864</v>
      </c>
      <c r="F27" s="4" t="n">
        <v>23838</v>
      </c>
      <c r="G27" s="4" t="n">
        <v>2152</v>
      </c>
    </row>
    <row r="28">
      <c r="A28" t="inlineStr">
        <is>
          <t>2026-08-28T17:13:16Z</t>
        </is>
      </c>
      <c r="B28" t="n">
        <v>32</v>
      </c>
      <c r="C28" s="4" t="n">
        <v>82268</v>
      </c>
      <c r="D28" s="4" t="n">
        <v>183147</v>
      </c>
      <c r="E28" s="4" t="n">
        <v>71515</v>
      </c>
      <c r="F28" s="4" t="n">
        <v>24383</v>
      </c>
      <c r="G28" s="4" t="n">
        <v>1022</v>
      </c>
    </row>
    <row r="29">
      <c r="A29" t="inlineStr">
        <is>
          <t>2026-08-28T17:13:20Z</t>
        </is>
      </c>
      <c r="B29" t="n">
        <v>33</v>
      </c>
      <c r="C29" s="4" t="n">
        <v>83363</v>
      </c>
      <c r="D29" s="4" t="n">
        <v>185680</v>
      </c>
      <c r="E29" s="4" t="n">
        <v>73598</v>
      </c>
      <c r="F29" s="4" t="n">
        <v>24421</v>
      </c>
      <c r="G29" s="4" t="n">
        <v>1095</v>
      </c>
    </row>
    <row r="30">
      <c r="A30" t="inlineStr">
        <is>
          <t>2026-08-28T17:14:07Z</t>
        </is>
      </c>
      <c r="B30" t="n">
        <v>35</v>
      </c>
      <c r="C30" s="4" t="n">
        <v>84516</v>
      </c>
      <c r="D30" s="4" t="n">
        <v>188246</v>
      </c>
      <c r="E30" s="4" t="n">
        <v>76810</v>
      </c>
      <c r="F30" s="4" t="n">
        <v>24686</v>
      </c>
      <c r="G30" s="4" t="n">
        <v>1153</v>
      </c>
    </row>
    <row r="31">
      <c r="A31" t="inlineStr">
        <is>
          <t>2026-08-28T17:14:13Z</t>
        </is>
      </c>
      <c r="B31" t="n">
        <v>36</v>
      </c>
      <c r="C31" s="4" t="n">
        <v>86140</v>
      </c>
      <c r="D31" s="4" t="n">
        <v>191407</v>
      </c>
      <c r="E31" s="4" t="n">
        <v>78003</v>
      </c>
      <c r="F31" s="4" t="n">
        <v>24904</v>
      </c>
      <c r="G31" s="4" t="n">
        <v>1624</v>
      </c>
    </row>
    <row r="32">
      <c r="A32" t="inlineStr">
        <is>
          <t>2026-08-28T17:14:25Z</t>
        </is>
      </c>
      <c r="B32" t="n">
        <v>38</v>
      </c>
      <c r="C32" s="4" t="n">
        <v>87540</v>
      </c>
      <c r="D32" s="4" t="n">
        <v>195219</v>
      </c>
      <c r="E32" s="4" t="n">
        <v>79352</v>
      </c>
      <c r="F32" s="4" t="n">
        <v>25572</v>
      </c>
      <c r="G32" s="4" t="n">
        <v>1400</v>
      </c>
    </row>
    <row r="33">
      <c r="A33" t="inlineStr">
        <is>
          <t>2026-08-28T17:15:08Z</t>
        </is>
      </c>
      <c r="B33" t="n">
        <v>40</v>
      </c>
      <c r="C33" s="4" t="n">
        <v>88264</v>
      </c>
      <c r="D33" s="4" t="n">
        <v>196468</v>
      </c>
      <c r="E33" s="4" t="n">
        <v>82419</v>
      </c>
      <c r="F33" s="4" t="n">
        <v>25837</v>
      </c>
      <c r="G33" s="4" t="n">
        <v>724</v>
      </c>
    </row>
    <row r="34">
      <c r="A34" t="inlineStr">
        <is>
          <t>2026-08-28T17:15:16Z</t>
        </is>
      </c>
      <c r="B34" t="n">
        <v>42</v>
      </c>
      <c r="C34" s="4" t="n">
        <v>90050</v>
      </c>
      <c r="D34" s="4" t="n">
        <v>200413</v>
      </c>
      <c r="E34" s="4" t="n">
        <v>86776</v>
      </c>
      <c r="F34" s="4" t="n">
        <v>26515</v>
      </c>
      <c r="G34" s="4" t="n">
        <v>1786</v>
      </c>
    </row>
    <row r="35">
      <c r="A35" t="inlineStr">
        <is>
          <t>2026-08-28T17:15:36Z</t>
        </is>
      </c>
      <c r="B35" t="n">
        <v>43</v>
      </c>
      <c r="C35" s="4" t="n">
        <v>92004</v>
      </c>
      <c r="D35" s="4" t="n">
        <v>205067</v>
      </c>
      <c r="E35" s="4" t="n">
        <v>88593</v>
      </c>
      <c r="F35" s="4" t="n">
        <v>26808</v>
      </c>
      <c r="G35" s="4" t="n">
        <v>1954</v>
      </c>
    </row>
    <row r="36">
      <c r="A36" t="inlineStr">
        <is>
          <t>2026-08-28T17:16:17Z</t>
        </is>
      </c>
      <c r="B36" t="n">
        <v>46</v>
      </c>
      <c r="C36" s="4" t="n">
        <v>93868</v>
      </c>
      <c r="D36" s="4" t="n">
        <v>209204</v>
      </c>
      <c r="E36" s="4" t="n">
        <v>91107</v>
      </c>
      <c r="F36" s="4" t="n">
        <v>27348</v>
      </c>
      <c r="G36" s="4" t="n">
        <v>1864</v>
      </c>
    </row>
    <row r="37">
      <c r="A37" t="inlineStr">
        <is>
          <t>2026-08-28T17:16:22Z</t>
        </is>
      </c>
      <c r="B37" t="n">
        <v>47</v>
      </c>
      <c r="C37" s="4" t="n">
        <v>94508</v>
      </c>
      <c r="D37" s="4" t="n">
        <v>211261</v>
      </c>
      <c r="E37" s="4" t="n">
        <v>92752</v>
      </c>
      <c r="F37" s="4" t="n">
        <v>27601</v>
      </c>
      <c r="G37" s="4" t="n">
        <v>640</v>
      </c>
    </row>
    <row r="38">
      <c r="A38" t="inlineStr">
        <is>
          <t>2026-08-28T17:16:31Z</t>
        </is>
      </c>
      <c r="B38" t="n">
        <v>48</v>
      </c>
      <c r="C38" s="4" t="n">
        <v>95507</v>
      </c>
      <c r="D38" s="4" t="n">
        <v>214202</v>
      </c>
      <c r="E38" s="4" t="n">
        <v>94663</v>
      </c>
      <c r="F38" s="4" t="n">
        <v>27818</v>
      </c>
      <c r="G38" s="4" t="n">
        <v>999</v>
      </c>
    </row>
    <row r="39">
      <c r="A39" t="inlineStr">
        <is>
          <t>2026-08-28T17:16:42Z</t>
        </is>
      </c>
      <c r="B39" t="n">
        <v>50</v>
      </c>
      <c r="C39" s="4" t="n">
        <v>97140</v>
      </c>
      <c r="D39" s="4" t="n">
        <v>218369</v>
      </c>
      <c r="E39" s="4" t="n">
        <v>98153</v>
      </c>
      <c r="F39" s="4" t="n">
        <v>28342</v>
      </c>
      <c r="G39" s="4" t="n">
        <v>1633</v>
      </c>
    </row>
    <row r="40">
      <c r="A40" t="inlineStr">
        <is>
          <t>2026-08-28T17:16:54Z</t>
        </is>
      </c>
      <c r="B40" t="n">
        <v>51</v>
      </c>
      <c r="C40" s="4" t="n">
        <v>98496</v>
      </c>
      <c r="D40" s="4" t="n">
        <v>222955</v>
      </c>
      <c r="E40" s="4" t="n">
        <v>104327</v>
      </c>
      <c r="F40" s="4" t="n">
        <v>34406</v>
      </c>
      <c r="G40" s="4" t="n">
        <v>1356</v>
      </c>
    </row>
    <row r="41">
      <c r="A41" t="inlineStr">
        <is>
          <t>2026-08-28T17:18:06Z</t>
        </is>
      </c>
      <c r="B41" t="n">
        <v>54</v>
      </c>
      <c r="C41" s="4" t="n">
        <v>101127</v>
      </c>
      <c r="D41" s="4" t="n">
        <v>228768</v>
      </c>
      <c r="E41" s="4" t="n">
        <v>106030</v>
      </c>
      <c r="F41" s="4" t="n">
        <v>35233</v>
      </c>
      <c r="G41" s="4" t="n">
        <v>2631</v>
      </c>
    </row>
    <row r="42">
      <c r="A42" t="inlineStr">
        <is>
          <t>2026-08-28T17:18:34Z</t>
        </is>
      </c>
      <c r="B42" t="n">
        <v>55</v>
      </c>
      <c r="C42" s="4" t="n">
        <v>101462</v>
      </c>
      <c r="D42" s="4" t="n">
        <v>229361</v>
      </c>
      <c r="E42" s="4" t="n">
        <v>107759</v>
      </c>
      <c r="F42" s="4" t="n">
        <v>35532</v>
      </c>
      <c r="G42" s="4" t="n">
        <v>335</v>
      </c>
    </row>
    <row r="43">
      <c r="A43" t="inlineStr">
        <is>
          <t>2026-08-28T17:18:47Z</t>
        </is>
      </c>
      <c r="B43" t="n">
        <v>57</v>
      </c>
      <c r="C43" s="4" t="n">
        <v>102850</v>
      </c>
      <c r="D43" s="4" t="n">
        <v>233881</v>
      </c>
      <c r="E43" s="4" t="n">
        <v>108459</v>
      </c>
      <c r="F43" s="4" t="n">
        <v>36488</v>
      </c>
      <c r="G43" s="4" t="n">
        <v>1388</v>
      </c>
    </row>
    <row r="44">
      <c r="A44" t="inlineStr">
        <is>
          <t>2026-08-31T06:01:58Z</t>
        </is>
      </c>
      <c r="B44" t="n">
        <v>193</v>
      </c>
      <c r="C44" s="4" t="n">
        <v>120189</v>
      </c>
      <c r="D44" s="4" t="n">
        <v>255267</v>
      </c>
      <c r="E44" s="4" t="n">
        <v>667760</v>
      </c>
      <c r="F44" s="4" t="n">
        <v>155848</v>
      </c>
      <c r="G44" s="4" t="n">
        <v>17339</v>
      </c>
    </row>
    <row r="45">
      <c r="A45" t="inlineStr">
        <is>
          <t>2026-09-01T05:23:34Z</t>
        </is>
      </c>
      <c r="B45" t="n">
        <v>197</v>
      </c>
      <c r="C45" s="4" t="n">
        <v>128784</v>
      </c>
      <c r="D45" s="4" t="n">
        <v>279834</v>
      </c>
      <c r="E45" s="4" t="n">
        <v>673857</v>
      </c>
      <c r="F45" s="4" t="n">
        <v>167682</v>
      </c>
      <c r="G45" s="4" t="n">
        <v>8595</v>
      </c>
    </row>
    <row r="46">
      <c r="A46" t="inlineStr">
        <is>
          <t>2026-09-01T10:57:22Z</t>
        </is>
      </c>
      <c r="B46" t="n">
        <v>200</v>
      </c>
      <c r="C46" s="4" t="n">
        <v>67194</v>
      </c>
      <c r="D46" s="4" t="n">
        <v>145823</v>
      </c>
      <c r="E46" s="4" t="n">
        <v>687149</v>
      </c>
      <c r="F46" s="4" t="n">
        <v>168944</v>
      </c>
      <c r="G46" s="16" t="n">
        <v>-61590</v>
      </c>
    </row>
    <row r="47">
      <c r="A47" t="inlineStr">
        <is>
          <t>2026-09-01T10:57:54Z</t>
        </is>
      </c>
      <c r="B47" t="n">
        <v>203</v>
      </c>
      <c r="C47" s="4" t="n">
        <v>99970</v>
      </c>
      <c r="D47" s="4" t="n">
        <v>189157</v>
      </c>
      <c r="E47" s="4" t="n">
        <v>731644</v>
      </c>
      <c r="F47" s="4" t="n">
        <v>170015</v>
      </c>
      <c r="G47" s="4" t="n">
        <v>32776</v>
      </c>
    </row>
    <row r="48">
      <c r="A48" t="inlineStr">
        <is>
          <t>2026-09-01T10:59:24Z</t>
        </is>
      </c>
      <c r="B48" t="n">
        <v>210</v>
      </c>
      <c r="C48" s="4" t="n">
        <v>111524</v>
      </c>
      <c r="D48" s="4" t="n">
        <v>216253</v>
      </c>
      <c r="E48" s="4" t="n">
        <v>773699</v>
      </c>
      <c r="F48" s="4" t="n">
        <v>174864</v>
      </c>
      <c r="G48" s="4" t="n">
        <v>11554</v>
      </c>
    </row>
    <row r="49">
      <c r="A49" t="inlineStr">
        <is>
          <t>2026-09-01T11:00:36Z</t>
        </is>
      </c>
      <c r="B49" t="n">
        <v>213</v>
      </c>
      <c r="C49" s="4" t="n">
        <v>119237</v>
      </c>
      <c r="D49" s="4" t="n">
        <v>239193</v>
      </c>
      <c r="E49" s="4" t="n">
        <v>782178</v>
      </c>
      <c r="F49" s="4" t="n">
        <v>181860</v>
      </c>
      <c r="G49" s="4" t="n">
        <v>7713</v>
      </c>
    </row>
    <row r="50">
      <c r="A50" t="inlineStr">
        <is>
          <t>2026-09-01T11:03:31Z</t>
        </is>
      </c>
      <c r="B50" t="n">
        <v>216</v>
      </c>
      <c r="C50" s="4" t="n">
        <v>135091</v>
      </c>
      <c r="D50" s="4" t="n">
        <v>280304</v>
      </c>
      <c r="E50" s="4" t="n">
        <v>782650</v>
      </c>
      <c r="F50" s="4" t="n">
        <v>222142</v>
      </c>
      <c r="G50" s="4" t="n">
        <v>15854</v>
      </c>
    </row>
    <row r="51">
      <c r="A51" t="inlineStr">
        <is>
          <t>2026-09-01T11:04:15Z</t>
        </is>
      </c>
      <c r="B51" t="n">
        <v>221</v>
      </c>
      <c r="C51" s="4" t="n">
        <v>148037</v>
      </c>
      <c r="D51" s="4" t="n">
        <v>311815</v>
      </c>
      <c r="E51" s="4" t="n">
        <v>795162</v>
      </c>
      <c r="F51" s="4" t="n">
        <v>226714</v>
      </c>
      <c r="G51" s="4" t="n">
        <v>12946</v>
      </c>
    </row>
    <row r="52">
      <c r="A52" t="inlineStr">
        <is>
          <t>2026-09-01T11:04:31Z</t>
        </is>
      </c>
      <c r="B52" t="n">
        <v>225</v>
      </c>
      <c r="C52" s="4" t="n">
        <v>78241</v>
      </c>
      <c r="D52" s="4" t="n">
        <v>171813</v>
      </c>
      <c r="E52" s="4" t="n">
        <v>815407</v>
      </c>
      <c r="F52" s="4" t="n">
        <v>227988</v>
      </c>
      <c r="G52" s="16" t="n">
        <v>-69796</v>
      </c>
    </row>
    <row r="53">
      <c r="A53" t="inlineStr">
        <is>
          <t>2026-09-01T17:02:26Z</t>
        </is>
      </c>
      <c r="B53" t="n">
        <v>235</v>
      </c>
      <c r="C53" s="4" t="n">
        <v>117283</v>
      </c>
      <c r="D53" s="4" t="n">
        <v>235792</v>
      </c>
      <c r="E53" s="4" t="n">
        <v>856696</v>
      </c>
      <c r="F53" s="4" t="n">
        <v>235168</v>
      </c>
      <c r="G53" s="4" t="n">
        <v>39042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2026-09-02T18:43:47Z</dcterms:created>
  <dcterms:modified xmlns:dcterms="http://purl.org/dc/terms/" xmlns:xsi="http://www.w3.org/2001/XMLSchema-instance" xsi:type="dcterms:W3CDTF">2026-09-02T18:43:47Z</dcterms:modified>
</cp:coreProperties>
</file>