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DLC token &amp; ACU" sheetId="1" state="visible" r:id="rId1"/>
    <sheet xmlns:r="http://schemas.openxmlformats.org/officeDocument/2006/relationships" name="Rate card &amp; token rates" sheetId="2" state="visible" r:id="rId2"/>
    <sheet xmlns:r="http://schemas.openxmlformats.org/officeDocument/2006/relationships" name="Cache efficiency" sheetId="3" state="visible" r:id="rId3"/>
    <sheet xmlns:r="http://schemas.openxmlformats.org/officeDocument/2006/relationships" name="If tokens were billed" sheetId="4" state="visible" r:id="rId4"/>
    <sheet xmlns:r="http://schemas.openxmlformats.org/officeDocument/2006/relationships" name="Raw telemetry" sheetId="5" state="visible" r:id="rId5"/>
    <sheet xmlns:r="http://schemas.openxmlformats.org/officeDocument/2006/relationships" name="Provenance &amp; formulas" sheetId="6" state="visible" r:id="rId6"/>
  </sheets>
  <definedNames/>
  <calcPr calcId="124519" fullCalcOnLoad="1"/>
</workbook>
</file>

<file path=xl/styles.xml><?xml version="1.0" encoding="utf-8"?>
<styleSheet xmlns="http://schemas.openxmlformats.org/spreadsheetml/2006/main">
  <numFmts count="2">
    <numFmt numFmtId="164" formatCode="&quot;$&quot;#,##0.00"/>
    <numFmt numFmtId="165" formatCode="0.0000"/>
  </numFmts>
  <fonts count="4">
    <font>
      <name val="Calibri"/>
      <family val="2"/>
      <color theme="1"/>
      <sz val="11"/>
      <scheme val="minor"/>
    </font>
    <font>
      <b val="1"/>
      <sz val="13"/>
    </font>
    <font>
      <b val="1"/>
    </font>
    <font>
      <b val="1"/>
      <sz val="12"/>
    </font>
  </fonts>
  <fills count="5">
    <fill>
      <patternFill/>
    </fill>
    <fill>
      <patternFill patternType="gray125"/>
    </fill>
    <fill>
      <patternFill patternType="solid">
        <fgColor rgb="009BC2E6"/>
      </patternFill>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3" fontId="0" fillId="0" borderId="0" pivotButton="0" quotePrefix="0" xfId="0"/>
    <xf numFmtId="164" fontId="0" fillId="0" borderId="0" pivotButton="0" quotePrefix="0" xfId="0"/>
    <xf numFmtId="0" fontId="2" fillId="0" borderId="0" pivotButton="0" quotePrefix="0" xfId="0"/>
    <xf numFmtId="3" fontId="2" fillId="0" borderId="0" pivotButton="0" quotePrefix="0" xfId="0"/>
    <xf numFmtId="164" fontId="2" fillId="0" borderId="0" pivotButton="0" quotePrefix="0" xfId="0"/>
    <xf numFmtId="165" fontId="2" fillId="0" borderId="0" pivotButton="0" quotePrefix="0" xfId="0"/>
    <xf numFmtId="0" fontId="0" fillId="3" borderId="0" pivotButton="0" quotePrefix="0" xfId="0"/>
    <xf numFmtId="0" fontId="2" fillId="3" borderId="0" pivotButton="0" quotePrefix="0" xfId="0"/>
    <xf numFmtId="3" fontId="2" fillId="3" borderId="0" pivotButton="0" quotePrefix="0" xfId="0"/>
    <xf numFmtId="164" fontId="2" fillId="3" borderId="0" pivotButton="0" quotePrefix="0" xfId="0"/>
    <xf numFmtId="165" fontId="2" fillId="3" borderId="0" pivotButton="0" quotePrefix="0" xfId="0"/>
    <xf numFmtId="0" fontId="0" fillId="3" borderId="0" applyAlignment="1" pivotButton="0" quotePrefix="0" xfId="0">
      <alignment vertical="top" wrapText="1"/>
    </xf>
    <xf numFmtId="0" fontId="3" fillId="0" borderId="0" pivotButton="0" quotePrefix="0" xfId="0"/>
    <xf numFmtId="0" fontId="0" fillId="4" borderId="0" applyAlignment="1" pivotButton="0" quotePrefix="0" xfId="0">
      <alignment vertical="top" wrapText="1"/>
    </xf>
    <xf numFmtId="3"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pane ySplit="5" topLeftCell="A6" activePane="bottomLeft" state="frozen"/>
      <selection pane="bottomLeft" activeCell="A1" sqref="A1"/>
    </sheetView>
  </sheetViews>
  <sheetFormatPr baseColWidth="8" defaultRowHeight="15"/>
  <cols>
    <col width="22" customWidth="1" min="1" max="1"/>
    <col width="52" customWidth="1" min="2" max="2"/>
    <col width="26" customWidth="1" min="3" max="3"/>
    <col width="14" customWidth="1" min="4" max="4"/>
    <col width="13" customWidth="1" min="5" max="5"/>
    <col width="12" customWidth="1" min="6" max="6"/>
    <col width="13" customWidth="1" min="7" max="7"/>
    <col width="14" customWidth="1" min="8" max="8"/>
    <col width="12" customWidth="1" min="9" max="9"/>
    <col width="10" customWidth="1" min="10" max="10"/>
    <col width="46" customWidth="1" min="11" max="11"/>
  </cols>
  <sheetData>
    <row r="1">
      <c r="A1" s="1" t="inlineStr">
        <is>
          <t>DEVIN - Angular 9 -&gt; 20 migration: AIDLC token &amp; ACU consumption</t>
        </is>
      </c>
    </row>
    <row r="2">
      <c r="A2" s="2" t="inlineStr">
        <is>
          <t>Devin bills ACUs, not tokens. Dollar Value = ACUs x $2.25/ACU. Token / Input / Cache Write / Cache Read / Output are measured context telemetry (context_growth_update), shown for parity with the Claude sheet - they carry no price.</t>
        </is>
      </c>
    </row>
    <row r="3">
      <c r="A3" t="inlineStr">
        <is>
          <t>Session devin-b089339539c84cfb8fe4913619e49d66  |  infosys-training/angular2-hn  |  PR https://github.com/infosys-training/angular2-hn/pull/35</t>
        </is>
      </c>
    </row>
    <row r="5">
      <c r="A5" s="3" t="inlineStr">
        <is>
          <t>AIDLC Phases</t>
        </is>
      </c>
      <c r="B5" s="3" t="inlineStr">
        <is>
          <t>Task</t>
        </is>
      </c>
      <c r="C5" s="3" t="inlineStr">
        <is>
          <t>Model</t>
        </is>
      </c>
      <c r="D5" s="3" t="inlineStr">
        <is>
          <t>Token</t>
        </is>
      </c>
      <c r="E5" s="3" t="inlineStr">
        <is>
          <t>Dollar Value</t>
        </is>
      </c>
      <c r="F5" s="3" t="inlineStr">
        <is>
          <t>Input</t>
        </is>
      </c>
      <c r="G5" s="3" t="inlineStr">
        <is>
          <t>Cache Write</t>
        </is>
      </c>
      <c r="H5" s="3" t="inlineStr">
        <is>
          <t>Cache Read</t>
        </is>
      </c>
      <c r="I5" s="3" t="inlineStr">
        <is>
          <t>Output</t>
        </is>
      </c>
      <c r="J5" s="3" t="inlineStr">
        <is>
          <t>ACUs</t>
        </is>
      </c>
      <c r="K5" s="3" t="inlineStr">
        <is>
          <t>Basis</t>
        </is>
      </c>
    </row>
    <row r="6">
      <c r="A6" t="inlineStr">
        <is>
          <t>Inception</t>
        </is>
      </c>
      <c r="B6" s="2" t="inlineStr">
        <is>
          <t>A1-A3  Inception: read repo config, BRD, units of work + acceptance criteria</t>
        </is>
      </c>
      <c r="C6" t="inlineStr">
        <is>
          <t>Devin agent (mode not exposed)</t>
        </is>
      </c>
      <c r="D6" s="4">
        <f>H6+G6</f>
        <v/>
      </c>
      <c r="E6" s="5">
        <f>J6*2.25</f>
        <v/>
      </c>
      <c r="F6" s="4" t="n">
        <v>7964</v>
      </c>
      <c r="G6" s="4" t="n">
        <v>16915</v>
      </c>
      <c r="H6" s="4" t="n">
        <v>1086900</v>
      </c>
      <c r="I6" s="4" t="n">
        <v>8951</v>
      </c>
      <c r="J6" t="n">
        <v>1.7528</v>
      </c>
      <c r="K6" s="2" t="inlineStr">
        <is>
          <t>ACUs derived (wall-clock split of measured total); tokens = ACUs x measured construction token rate</t>
        </is>
      </c>
    </row>
    <row r="7">
      <c r="A7" t="inlineStr">
        <is>
          <t>Construction</t>
        </is>
      </c>
      <c r="B7" s="2" t="inlineStr">
        <is>
          <t>B1  Angular 9 -&gt; 10 (npm package manager, headless karma launcher)</t>
        </is>
      </c>
      <c r="C7" t="inlineStr">
        <is>
          <t>Devin agent (mode not exposed)</t>
        </is>
      </c>
      <c r="D7" s="4">
        <f>H7+G7</f>
        <v/>
      </c>
      <c r="E7" s="5">
        <f>J7*2.25</f>
        <v/>
      </c>
      <c r="F7" s="4" t="n">
        <v>5021</v>
      </c>
      <c r="G7" s="4" t="n">
        <v>10664</v>
      </c>
      <c r="H7" s="4" t="n">
        <v>685203</v>
      </c>
      <c r="I7" s="4" t="n">
        <v>5643</v>
      </c>
      <c r="J7" t="n">
        <v>1.105</v>
      </c>
      <c r="K7" s="2" t="inlineStr">
        <is>
          <t>ACUs derived (wall-clock split of measured total); tokens = ACUs x measured construction token rate</t>
        </is>
      </c>
    </row>
    <row r="8">
      <c r="A8" t="inlineStr">
        <is>
          <t>Construction</t>
        </is>
      </c>
      <c r="B8" s="2" t="inlineStr">
        <is>
          <t>B2  Angular 10 -&gt; 11 (+ first unit specs, legacy-peer-deps)</t>
        </is>
      </c>
      <c r="C8" t="inlineStr">
        <is>
          <t>Devin agent (mode not exposed)</t>
        </is>
      </c>
      <c r="D8" s="4">
        <f>H8+G8</f>
        <v/>
      </c>
      <c r="E8" s="5">
        <f>J8*2.25</f>
        <v/>
      </c>
      <c r="F8" s="4" t="n">
        <v>4502</v>
      </c>
      <c r="G8" s="4" t="n">
        <v>9561</v>
      </c>
      <c r="H8" s="4" t="n">
        <v>614326</v>
      </c>
      <c r="I8" s="4" t="n">
        <v>5059</v>
      </c>
      <c r="J8" t="n">
        <v>0.9907</v>
      </c>
      <c r="K8" s="2" t="inlineStr">
        <is>
          <t>ACUs derived (wall-clock split of measured total); tokens = ACUs x measured construction token rate</t>
        </is>
      </c>
    </row>
    <row r="9">
      <c r="A9" t="inlineStr">
        <is>
          <t>Construction</t>
        </is>
      </c>
      <c r="B9" s="2" t="inlineStr">
        <is>
          <t>B3  Angular 11 -&gt; 12</t>
        </is>
      </c>
      <c r="C9" t="inlineStr">
        <is>
          <t>Devin agent (mode not exposed)</t>
        </is>
      </c>
      <c r="D9" s="4">
        <f>H9+G9</f>
        <v/>
      </c>
      <c r="E9" s="5">
        <f>J9*2.25</f>
        <v/>
      </c>
      <c r="F9" s="4" t="n">
        <v>3160</v>
      </c>
      <c r="G9" s="4" t="n">
        <v>6711</v>
      </c>
      <c r="H9" s="4" t="n">
        <v>431213</v>
      </c>
      <c r="I9" s="4" t="n">
        <v>3551</v>
      </c>
      <c r="J9" t="n">
        <v>0.6954</v>
      </c>
      <c r="K9" s="2" t="inlineStr">
        <is>
          <t>ACUs derived (wall-clock split of measured total); tokens = ACUs x measured construction token rate</t>
        </is>
      </c>
    </row>
    <row r="10">
      <c r="A10" t="inlineStr">
        <is>
          <t>Construction</t>
        </is>
      </c>
      <c r="B10" s="2" t="inlineStr">
        <is>
          <t>C1  RxJS 7 imports, drop rxjs-compat, sass math.div</t>
        </is>
      </c>
      <c r="C10" t="inlineStr">
        <is>
          <t>Devin agent (mode not exposed)</t>
        </is>
      </c>
      <c r="D10" s="4">
        <f>H10+G10</f>
        <v/>
      </c>
      <c r="E10" s="5">
        <f>J10*2.25</f>
        <v/>
      </c>
      <c r="F10" s="4" t="n">
        <v>2900</v>
      </c>
      <c r="G10" s="4" t="n">
        <v>6159</v>
      </c>
      <c r="H10" s="4" t="n">
        <v>395744</v>
      </c>
      <c r="I10" s="4" t="n">
        <v>3259</v>
      </c>
      <c r="J10" t="n">
        <v>0.6382</v>
      </c>
      <c r="K10" s="2" t="inlineStr">
        <is>
          <t>ACUs derived (wall-clock split of measured total); tokens = ACUs x measured construction token rate</t>
        </is>
      </c>
    </row>
    <row r="11">
      <c r="A11" t="inlineStr">
        <is>
          <t>Construction</t>
        </is>
      </c>
      <c r="B11" s="2" t="inlineStr">
        <is>
          <t>B4  Angular 12 -&gt; 13</t>
        </is>
      </c>
      <c r="C11" t="inlineStr">
        <is>
          <t>Devin agent (mode not exposed)</t>
        </is>
      </c>
      <c r="D11" s="4">
        <f>H11+G11</f>
        <v/>
      </c>
      <c r="E11" s="5">
        <f>J11*2.25</f>
        <v/>
      </c>
      <c r="F11" s="4" t="n">
        <v>1904</v>
      </c>
      <c r="G11" s="4" t="n">
        <v>4044</v>
      </c>
      <c r="H11" s="4" t="n">
        <v>259881</v>
      </c>
      <c r="I11" s="4" t="n">
        <v>2140</v>
      </c>
      <c r="J11" t="n">
        <v>0.4191</v>
      </c>
      <c r="K11" s="2" t="inlineStr">
        <is>
          <t>ACUs derived (wall-clock split of measured total); tokens = ACUs x measured construction token rate</t>
        </is>
      </c>
    </row>
    <row r="12">
      <c r="A12" t="inlineStr">
        <is>
          <t>Construction</t>
        </is>
      </c>
      <c r="B12" s="2" t="inlineStr">
        <is>
          <t>C5  TSLint/codelyzer -&gt; angular-eslint + fix violations</t>
        </is>
      </c>
      <c r="C12" t="inlineStr">
        <is>
          <t>Devin agent (mode not exposed)</t>
        </is>
      </c>
      <c r="D12" s="4">
        <f>H12+G12</f>
        <v/>
      </c>
      <c r="E12" s="5">
        <f>J12*2.25</f>
        <v/>
      </c>
      <c r="F12" s="4" t="n">
        <v>3203</v>
      </c>
      <c r="G12" s="4" t="n">
        <v>6803</v>
      </c>
      <c r="H12" s="4" t="n">
        <v>437104</v>
      </c>
      <c r="I12" s="4" t="n">
        <v>3600</v>
      </c>
      <c r="J12" t="n">
        <v>0.7049</v>
      </c>
      <c r="K12" s="2" t="inlineStr">
        <is>
          <t>ACUs derived (wall-clock split of measured total); tokens = ACUs x measured construction token rate</t>
        </is>
      </c>
    </row>
    <row r="13">
      <c r="A13" t="inlineStr">
        <is>
          <t>Construction</t>
        </is>
      </c>
      <c r="B13" s="2" t="inlineStr">
        <is>
          <t>B5  Angular 13 -&gt; 14</t>
        </is>
      </c>
      <c r="C13" t="inlineStr">
        <is>
          <t>Devin agent (mode not exposed)</t>
        </is>
      </c>
      <c r="D13" s="4">
        <f>H13+G13</f>
        <v/>
      </c>
      <c r="E13" s="5">
        <f>J13*2.25</f>
        <v/>
      </c>
      <c r="F13" s="4" t="n">
        <v>2337</v>
      </c>
      <c r="G13" s="4" t="n">
        <v>4964</v>
      </c>
      <c r="H13" s="4" t="n">
        <v>318976</v>
      </c>
      <c r="I13" s="4" t="n">
        <v>2627</v>
      </c>
      <c r="J13" t="n">
        <v>0.5144</v>
      </c>
      <c r="K13" s="2" t="inlineStr">
        <is>
          <t>ACUs derived (wall-clock split of measured total); tokens = ACUs x measured construction token rate</t>
        </is>
      </c>
    </row>
    <row r="14">
      <c r="A14" t="inlineStr">
        <is>
          <t>Construction</t>
        </is>
      </c>
      <c r="B14" s="2" t="inlineStr">
        <is>
          <t>B6  Angular 14 -&gt; 15 (+ Protractor removal)</t>
        </is>
      </c>
      <c r="C14" t="inlineStr">
        <is>
          <t>Devin agent (mode not exposed)</t>
        </is>
      </c>
      <c r="D14" s="4">
        <f>H14+G14</f>
        <v/>
      </c>
      <c r="E14" s="5">
        <f>J14*2.25</f>
        <v/>
      </c>
      <c r="F14" s="4" t="n">
        <v>2814</v>
      </c>
      <c r="G14" s="4" t="n">
        <v>5975</v>
      </c>
      <c r="H14" s="4" t="n">
        <v>383962</v>
      </c>
      <c r="I14" s="4" t="n">
        <v>3162</v>
      </c>
      <c r="J14" t="n">
        <v>0.6192</v>
      </c>
      <c r="K14" s="2" t="inlineStr">
        <is>
          <t>ACUs derived (wall-clock split of measured total); tokens = ACUs x measured construction token rate</t>
        </is>
      </c>
    </row>
    <row r="15">
      <c r="A15" t="inlineStr">
        <is>
          <t>Construction</t>
        </is>
      </c>
      <c r="B15" s="2" t="inlineStr">
        <is>
          <t>B7  Angular 15 -&gt; 16</t>
        </is>
      </c>
      <c r="C15" t="inlineStr">
        <is>
          <t>Devin agent (mode not exposed)</t>
        </is>
      </c>
      <c r="D15" s="4">
        <f>H15+G15</f>
        <v/>
      </c>
      <c r="E15" s="5">
        <f>J15*2.25</f>
        <v/>
      </c>
      <c r="F15" s="4" t="n">
        <v>2034</v>
      </c>
      <c r="G15" s="4" t="n">
        <v>4320</v>
      </c>
      <c r="H15" s="4" t="n">
        <v>277616</v>
      </c>
      <c r="I15" s="4" t="n">
        <v>2286</v>
      </c>
      <c r="J15" t="n">
        <v>0.4477</v>
      </c>
      <c r="K15" s="2" t="inlineStr">
        <is>
          <t>ACUs derived (wall-clock split of measured total); tokens = ACUs x measured construction token rate</t>
        </is>
      </c>
    </row>
    <row r="16">
      <c r="A16" t="inlineStr">
        <is>
          <t>Construction</t>
        </is>
      </c>
      <c r="B16" s="2" t="inlineStr">
        <is>
          <t>B8  Angular 16 -&gt; 17</t>
        </is>
      </c>
      <c r="C16" t="inlineStr">
        <is>
          <t>Devin agent (mode not exposed)</t>
        </is>
      </c>
      <c r="D16" s="4">
        <f>H16+G16</f>
        <v/>
      </c>
      <c r="E16" s="5">
        <f>J16*2.25</f>
        <v/>
      </c>
      <c r="F16" s="4" t="n">
        <v>2078</v>
      </c>
      <c r="G16" s="4" t="n">
        <v>4413</v>
      </c>
      <c r="H16" s="4" t="n">
        <v>283569</v>
      </c>
      <c r="I16" s="4" t="n">
        <v>2335</v>
      </c>
      <c r="J16" t="n">
        <v>0.4573</v>
      </c>
      <c r="K16" s="2" t="inlineStr">
        <is>
          <t>ACUs derived (wall-clock split of measured total); tokens = ACUs x measured construction token rate</t>
        </is>
      </c>
    </row>
    <row r="17">
      <c r="A17" t="inlineStr">
        <is>
          <t>Construction</t>
        </is>
      </c>
      <c r="B17" s="2" t="inlineStr">
        <is>
          <t>B9  Angular 17 -&gt; 18</t>
        </is>
      </c>
      <c r="C17" t="inlineStr">
        <is>
          <t>Devin agent (mode not exposed)</t>
        </is>
      </c>
      <c r="D17" s="4">
        <f>H17+G17</f>
        <v/>
      </c>
      <c r="E17" s="5">
        <f>J17*2.25</f>
        <v/>
      </c>
      <c r="F17" s="4" t="n">
        <v>2121</v>
      </c>
      <c r="G17" s="4" t="n">
        <v>4505</v>
      </c>
      <c r="H17" s="4" t="n">
        <v>289460</v>
      </c>
      <c r="I17" s="4" t="n">
        <v>2384</v>
      </c>
      <c r="J17" t="n">
        <v>0.4668</v>
      </c>
      <c r="K17" s="2" t="inlineStr">
        <is>
          <t>ACUs derived (wall-clock split of measured total); tokens = ACUs x measured construction token rate</t>
        </is>
      </c>
    </row>
    <row r="18">
      <c r="A18" t="inlineStr">
        <is>
          <t>Construction</t>
        </is>
      </c>
      <c r="B18" s="2" t="inlineStr">
        <is>
          <t>C9+B10  Standalone migration, provideRouter/provideServiceWorker bootstrap, Angular 19</t>
        </is>
      </c>
      <c r="C18" t="inlineStr">
        <is>
          <t>Devin agent (mode not exposed)</t>
        </is>
      </c>
      <c r="D18" s="4">
        <f>H18+G18</f>
        <v/>
      </c>
      <c r="E18" s="5">
        <f>J18*2.25</f>
        <v/>
      </c>
      <c r="F18" s="4" t="n">
        <v>6623</v>
      </c>
      <c r="G18" s="4" t="n">
        <v>14065</v>
      </c>
      <c r="H18" s="4" t="n">
        <v>903786</v>
      </c>
      <c r="I18" s="4" t="n">
        <v>7443</v>
      </c>
      <c r="J18" t="n">
        <v>1.4575</v>
      </c>
      <c r="K18" s="2" t="inlineStr">
        <is>
          <t>ACUs derived (wall-clock split of measured total); tokens = ACUs x measured construction token rate</t>
        </is>
      </c>
    </row>
    <row r="19">
      <c r="A19" t="inlineStr">
        <is>
          <t>Construction</t>
        </is>
      </c>
      <c r="B19" s="2" t="inlineStr">
        <is>
          <t>B11+C6-C8  Angular 20, application builder, control flow, inject(), Playwright e2e, ops config</t>
        </is>
      </c>
      <c r="C19" t="inlineStr">
        <is>
          <t>Devin agent (mode not exposed)</t>
        </is>
      </c>
      <c r="D19" s="4">
        <f>H19+G19</f>
        <v/>
      </c>
      <c r="E19" s="5">
        <f>J19*2.25</f>
        <v/>
      </c>
      <c r="F19" s="4" t="n">
        <v>10172</v>
      </c>
      <c r="G19" s="4" t="n">
        <v>21603</v>
      </c>
      <c r="H19" s="4" t="n">
        <v>1388141</v>
      </c>
      <c r="I19" s="4" t="n">
        <v>11431</v>
      </c>
      <c r="J19" t="n">
        <v>2.2386</v>
      </c>
      <c r="K19" s="2" t="inlineStr">
        <is>
          <t>ACUs derived (wall-clock split of measured total); tokens = ACUs x measured construction token rate</t>
        </is>
      </c>
    </row>
    <row r="20">
      <c r="A20" t="inlineStr">
        <is>
          <t>Governance / AIDLC tooling</t>
        </is>
      </c>
      <c r="B20" s="2" t="inlineStr">
        <is>
          <t>E1-E2  AIDLC prompt-prefix generator, cost tooling, final unit status</t>
        </is>
      </c>
      <c r="C20" t="inlineStr">
        <is>
          <t>Devin agent (mode not exposed)</t>
        </is>
      </c>
      <c r="D20" s="4">
        <f>H20+G20</f>
        <v/>
      </c>
      <c r="E20" s="5">
        <f>J20*2.25</f>
        <v/>
      </c>
      <c r="F20" s="4" t="n">
        <v>7142</v>
      </c>
      <c r="G20" s="4" t="n">
        <v>15168</v>
      </c>
      <c r="H20" s="4" t="n">
        <v>974663</v>
      </c>
      <c r="I20" s="4" t="n">
        <v>8026</v>
      </c>
      <c r="J20" t="n">
        <v>1.5718</v>
      </c>
      <c r="K20" s="2" t="inlineStr">
        <is>
          <t>ACUs derived (wall-clock split of measured total); tokens = ACUs x measured construction token rate</t>
        </is>
      </c>
    </row>
    <row r="21">
      <c r="A21" t="inlineStr">
        <is>
          <t>Operation</t>
        </is>
      </c>
      <c r="B21" s="2" t="inlineStr">
        <is>
          <t>D-PR  PR #35 creation and summary</t>
        </is>
      </c>
      <c r="C21" t="inlineStr">
        <is>
          <t>Devin agent (mode not exposed)</t>
        </is>
      </c>
      <c r="D21" s="4">
        <f>H21+G21</f>
        <v/>
      </c>
      <c r="E21" s="5">
        <f>J21*2.25</f>
        <v/>
      </c>
      <c r="F21" s="4" t="n">
        <v>2510</v>
      </c>
      <c r="G21" s="4" t="n">
        <v>5332</v>
      </c>
      <c r="H21" s="4" t="n">
        <v>342602</v>
      </c>
      <c r="I21" s="4" t="n">
        <v>2821</v>
      </c>
      <c r="J21" t="n">
        <v>0.5525</v>
      </c>
      <c r="K21" s="2" t="inlineStr">
        <is>
          <t>ACUs derived (wall-clock split of measured total); tokens = ACUs x measured construction token rate</t>
        </is>
      </c>
    </row>
    <row r="22">
      <c r="A22" t="inlineStr">
        <is>
          <t>Validation</t>
        </is>
      </c>
      <c r="B22" s="2" t="inlineStr">
        <is>
          <t>V1  Post-PR verification (prod build, service worker/manifest serve check), test plan, testing handoff</t>
        </is>
      </c>
      <c r="C22" t="inlineStr">
        <is>
          <t>Devin agent (mode not exposed)</t>
        </is>
      </c>
      <c r="D22" s="4">
        <f>H22+G22</f>
        <v/>
      </c>
      <c r="E22" s="5">
        <f>J22*2.25</f>
        <v/>
      </c>
      <c r="F22" s="4" t="n">
        <v>25538</v>
      </c>
      <c r="G22" s="4" t="n">
        <v>54239</v>
      </c>
      <c r="H22" s="4" t="n">
        <v>3485173</v>
      </c>
      <c r="I22" s="4" t="n">
        <v>28701</v>
      </c>
      <c r="J22" t="n">
        <v>5.6204</v>
      </c>
      <c r="K22" s="2" t="inlineStr">
        <is>
          <t>ACUs derived (wall-clock split of measured total); tokens = ACUs x measured construction token rate</t>
        </is>
      </c>
    </row>
    <row r="23">
      <c r="B23" s="6" t="inlineStr">
        <is>
          <t>Migration delivery subtotal</t>
        </is>
      </c>
      <c r="D23" s="7">
        <f>SUM(D6:D22)</f>
        <v/>
      </c>
      <c r="E23" s="8">
        <f>J23*2.25</f>
        <v/>
      </c>
      <c r="F23" s="7">
        <f>SUM(F6:F22)</f>
        <v/>
      </c>
      <c r="G23" s="7">
        <f>SUM(G6:G22)</f>
        <v/>
      </c>
      <c r="H23" s="7">
        <f>SUM(H6:H22)</f>
        <v/>
      </c>
      <c r="I23" s="7">
        <f>SUM(I6:I22)</f>
        <v/>
      </c>
      <c r="J23" s="9">
        <f>SUM(J6:J22)</f>
        <v/>
      </c>
      <c r="K23" s="2" t="inlineStr">
        <is>
          <t>ACU subtotal is MEASURED (20.2524 ACUs, session API)</t>
        </is>
      </c>
    </row>
    <row r="25">
      <c r="A25" t="inlineStr">
        <is>
          <t>Reporting (post-delivery)</t>
        </is>
      </c>
      <c r="B25" s="2" t="inlineStr">
        <is>
          <t>#3 ACU metrics table + acu-usage.json + acu-metrics.md + cost script</t>
        </is>
      </c>
      <c r="C25" t="inlineStr">
        <is>
          <t>Devin agent (mode not exposed)</t>
        </is>
      </c>
      <c r="D25" s="4">
        <f>H25+G25</f>
        <v/>
      </c>
      <c r="E25" s="5">
        <f>J25*2.25</f>
        <v/>
      </c>
      <c r="F25" s="4" t="n">
        <v>58936</v>
      </c>
      <c r="G25" s="4" t="n">
        <v>111596</v>
      </c>
      <c r="H25" s="4" t="n">
        <v>3966534</v>
      </c>
      <c r="I25" s="4" t="n">
        <v>52660</v>
      </c>
      <c r="J25" t="n">
        <v>3.7339</v>
      </c>
      <c r="K25" s="2" t="inlineStr">
        <is>
          <t>ACUs MEASURED (per-interaction checkpoint delta); tokens = ACUs x measured reporting token rate</t>
        </is>
      </c>
    </row>
    <row r="26">
      <c r="A26" t="inlineStr">
        <is>
          <t>Reporting (post-delivery)</t>
        </is>
      </c>
      <c r="B26" s="2" t="inlineStr">
        <is>
          <t>#4 XLSX generation of the same metrics</t>
        </is>
      </c>
      <c r="C26" t="inlineStr">
        <is>
          <t>Devin agent (mode not exposed)</t>
        </is>
      </c>
      <c r="D26" s="4">
        <f>H26+G26</f>
        <v/>
      </c>
      <c r="E26" s="5">
        <f>J26*2.25</f>
        <v/>
      </c>
      <c r="F26" s="4" t="n">
        <v>10062</v>
      </c>
      <c r="G26" s="4" t="n">
        <v>19053</v>
      </c>
      <c r="H26" s="4" t="n">
        <v>677215</v>
      </c>
      <c r="I26" s="4" t="n">
        <v>8991</v>
      </c>
      <c r="J26" t="n">
        <v>0.6375</v>
      </c>
      <c r="K26" s="2" t="inlineStr">
        <is>
          <t>ACUs MEASURED (per-interaction checkpoint delta); tokens = ACUs x measured reporting token rate</t>
        </is>
      </c>
    </row>
    <row r="27">
      <c r="A27" t="inlineStr">
        <is>
          <t>Reporting (post-delivery)</t>
        </is>
      </c>
      <c r="B27" s="2" t="inlineStr">
        <is>
          <t>#5 Prompt-cache/context-reuse derivation and extra workbook sheet</t>
        </is>
      </c>
      <c r="C27" t="inlineStr">
        <is>
          <t>Devin agent (mode not exposed)</t>
        </is>
      </c>
      <c r="D27" s="4">
        <f>H27+G27</f>
        <v/>
      </c>
      <c r="E27" s="5">
        <f>J27*2.25</f>
        <v/>
      </c>
      <c r="F27" s="4" t="n">
        <v>41629</v>
      </c>
      <c r="G27" s="4" t="n">
        <v>78825</v>
      </c>
      <c r="H27" s="4" t="n">
        <v>2801717</v>
      </c>
      <c r="I27" s="4" t="n">
        <v>37196</v>
      </c>
      <c r="J27" t="n">
        <v>2.6374</v>
      </c>
      <c r="K27" s="2" t="inlineStr">
        <is>
          <t>ACUs MEASURED (per-interaction checkpoint delta); tokens = ACUs x measured reporting token rate</t>
        </is>
      </c>
    </row>
    <row r="28">
      <c r="A28" t="inlineStr">
        <is>
          <t>Reporting (post-delivery)</t>
        </is>
      </c>
      <c r="B28" s="2" t="inlineStr">
        <is>
          <t>#6 Leadership narrative of the metrics</t>
        </is>
      </c>
      <c r="C28" t="inlineStr">
        <is>
          <t>Devin agent (mode not exposed)</t>
        </is>
      </c>
      <c r="D28" s="4">
        <f>H28+G28</f>
        <v/>
      </c>
      <c r="E28" s="5">
        <f>J28*2.25</f>
        <v/>
      </c>
      <c r="F28" s="4" t="n">
        <v>16891</v>
      </c>
      <c r="G28" s="4" t="n">
        <v>31983</v>
      </c>
      <c r="H28" s="4" t="n">
        <v>1136809</v>
      </c>
      <c r="I28" s="4" t="n">
        <v>15092</v>
      </c>
      <c r="J28" t="n">
        <v>1.0701</v>
      </c>
      <c r="K28" s="2" t="inlineStr">
        <is>
          <t>ACUs MEASURED (per-interaction checkpoint delta); tokens = ACUs x measured reporting token rate</t>
        </is>
      </c>
    </row>
    <row r="29">
      <c r="A29" t="inlineStr">
        <is>
          <t>Reporting (post-delivery)</t>
        </is>
      </c>
      <c r="B29" s="2" t="inlineStr">
        <is>
          <t>#7 Line-by-line walkthrough of the workbook</t>
        </is>
      </c>
      <c r="C29" t="inlineStr">
        <is>
          <t>Devin agent (mode not exposed)</t>
        </is>
      </c>
      <c r="D29" s="4">
        <f>H29+G29</f>
        <v/>
      </c>
      <c r="E29" s="5">
        <f>J29*2.25</f>
        <v/>
      </c>
      <c r="F29" s="4" t="n">
        <v>20617</v>
      </c>
      <c r="G29" s="4" t="n">
        <v>39039</v>
      </c>
      <c r="H29" s="4" t="n">
        <v>1387590</v>
      </c>
      <c r="I29" s="4" t="n">
        <v>18422</v>
      </c>
      <c r="J29" t="n">
        <v>1.3062</v>
      </c>
      <c r="K29" s="2" t="inlineStr">
        <is>
          <t>ACUs MEASURED (per-interaction checkpoint delta); tokens = ACUs x measured reporting token rate</t>
        </is>
      </c>
    </row>
    <row r="30">
      <c r="A30" t="inlineStr">
        <is>
          <t>Reporting (post-delivery)</t>
        </is>
      </c>
      <c r="B30" s="2" t="inlineStr">
        <is>
          <t>#8 Model-identity investigation + ACU reduction recommendations (request was sent twice)</t>
        </is>
      </c>
      <c r="C30" t="inlineStr">
        <is>
          <t>Devin agent (mode not exposed)</t>
        </is>
      </c>
      <c r="D30" s="4">
        <f>H30+G30</f>
        <v/>
      </c>
      <c r="E30" s="5">
        <f>J30*2.25</f>
        <v/>
      </c>
      <c r="F30" s="4" t="n">
        <v>28020</v>
      </c>
      <c r="G30" s="4" t="n">
        <v>53055</v>
      </c>
      <c r="H30" s="4" t="n">
        <v>1885771</v>
      </c>
      <c r="I30" s="4" t="n">
        <v>25035</v>
      </c>
      <c r="J30" t="n">
        <v>1.7752</v>
      </c>
      <c r="K30" s="2" t="inlineStr">
        <is>
          <t>ACUs MEASURED (per-interaction checkpoint delta); tokens = ACUs x measured reporting token rate</t>
        </is>
      </c>
    </row>
    <row r="31">
      <c r="A31" t="inlineStr">
        <is>
          <t>Reporting (post-delivery)</t>
        </is>
      </c>
      <c r="B31" s="2" t="inlineStr">
        <is>
          <t>#9 Workbook efficiency analysis + leadership briefing document</t>
        </is>
      </c>
      <c r="C31" t="inlineStr">
        <is>
          <t>Devin agent (mode not exposed)</t>
        </is>
      </c>
      <c r="D31" s="4">
        <f>H31+G31</f>
        <v/>
      </c>
      <c r="E31" s="5">
        <f>J31*2.25</f>
        <v/>
      </c>
      <c r="F31" s="4" t="n">
        <v>42695</v>
      </c>
      <c r="G31" s="4" t="n">
        <v>80843</v>
      </c>
      <c r="H31" s="4" t="n">
        <v>2873461</v>
      </c>
      <c r="I31" s="4" t="n">
        <v>38148</v>
      </c>
      <c r="J31" t="n">
        <v>2.7049</v>
      </c>
      <c r="K31" s="2" t="inlineStr">
        <is>
          <t>ACUs MEASURED (per-interaction checkpoint delta); tokens = ACUs x measured reporting token rate</t>
        </is>
      </c>
    </row>
    <row r="32">
      <c r="B32" s="6" t="inlineStr">
        <is>
          <t>Reporting subtotal</t>
        </is>
      </c>
      <c r="D32" s="7">
        <f>SUM(D25:D31)</f>
        <v/>
      </c>
      <c r="E32" s="8">
        <f>J32*2.25</f>
        <v/>
      </c>
      <c r="F32" s="7">
        <f>SUM(F25:F31)</f>
        <v/>
      </c>
      <c r="G32" s="7">
        <f>SUM(G25:G31)</f>
        <v/>
      </c>
      <c r="H32" s="7">
        <f>SUM(H25:H31)</f>
        <v/>
      </c>
      <c r="I32" s="7">
        <f>SUM(I25:I31)</f>
        <v/>
      </c>
      <c r="J32" s="9">
        <f>SUM(J25:J31)</f>
        <v/>
      </c>
    </row>
    <row r="34">
      <c r="A34" s="10" t="n"/>
      <c r="B34" s="11" t="inlineStr">
        <is>
          <t>SESSION TOTAL</t>
        </is>
      </c>
      <c r="C34" s="10" t="n"/>
      <c r="D34" s="12">
        <f>SUM(D6:D22)+SUM(D25:D31)</f>
        <v/>
      </c>
      <c r="E34" s="13">
        <f>J34*2.25</f>
        <v/>
      </c>
      <c r="F34" s="12">
        <f>SUM(F6:F22)+SUM(F25:F31)</f>
        <v/>
      </c>
      <c r="G34" s="12">
        <f>SUM(G6:G22)+SUM(G25:G31)</f>
        <v/>
      </c>
      <c r="H34" s="12">
        <f>SUM(H6:H22)+SUM(H25:H31)</f>
        <v/>
      </c>
      <c r="I34" s="12">
        <f>SUM(I6:I22)+SUM(I25:I31)</f>
        <v/>
      </c>
      <c r="J34" s="14">
        <f>SUM(J6:J22)+SUM(J25:J31)</f>
        <v/>
      </c>
      <c r="K34" s="15" t="inlineStr">
        <is>
          <t>Session ACU total MEASURED: 34.1175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11" topLeftCell="A12" activePane="bottomLeft" state="frozen"/>
      <selection pane="bottomLeft" activeCell="A1" sqref="A1"/>
    </sheetView>
  </sheetViews>
  <sheetFormatPr baseColWidth="8" defaultRowHeight="15"/>
  <cols>
    <col width="30" customWidth="1" min="1" max="1"/>
    <col width="52" customWidth="1" min="2" max="2"/>
    <col width="12" customWidth="1" min="3" max="3"/>
    <col width="15" customWidth="1" min="4" max="4"/>
    <col width="18" customWidth="1" min="5" max="5"/>
    <col width="18" customWidth="1" min="6" max="6"/>
    <col width="14" customWidth="1" min="7" max="7"/>
    <col width="14" customWidth="1" min="8" max="8"/>
  </cols>
  <sheetData>
    <row r="1">
      <c r="A1" s="16" t="inlineStr">
        <is>
          <t>What Devin charges for</t>
        </is>
      </c>
    </row>
    <row r="3">
      <c r="A3" s="3" t="inlineStr">
        <is>
          <t>Billable unit</t>
        </is>
      </c>
      <c r="B3" s="3" t="inlineStr">
        <is>
          <t>Price</t>
        </is>
      </c>
      <c r="C3" s="3" t="inlineStr">
        <is>
          <t>Billed?</t>
        </is>
      </c>
      <c r="D3" s="3" t="inlineStr">
        <is>
          <t>Note</t>
        </is>
      </c>
    </row>
    <row r="4">
      <c r="A4" t="inlineStr">
        <is>
          <t>ACU (Agent Compute Unit)</t>
        </is>
      </c>
      <c r="B4" t="inlineStr">
        <is>
          <t>$2.25 per ACU</t>
        </is>
      </c>
      <c r="C4" s="6" t="inlineStr">
        <is>
          <t>YES</t>
        </is>
      </c>
      <c r="D4" s="2" t="inlineStr">
        <is>
          <t>Only billable unit. Enterprise price is set on the order form; $2.25 is the list-price assumption used here.</t>
        </is>
      </c>
    </row>
    <row r="5">
      <c r="A5" t="inlineStr">
        <is>
          <t>Input tokens</t>
        </is>
      </c>
      <c r="B5" t="inlineStr">
        <is>
          <t>$0.00</t>
        </is>
      </c>
      <c r="C5" s="6" t="inlineStr">
        <is>
          <t>No</t>
        </is>
      </c>
      <c r="D5" s="2" t="inlineStr">
        <is>
          <t>Not billed and not exposed as a billing field by Devin.</t>
        </is>
      </c>
    </row>
    <row r="6">
      <c r="A6" t="inlineStr">
        <is>
          <t>Cache write tokens</t>
        </is>
      </c>
      <c r="B6" t="inlineStr">
        <is>
          <t>$0.00</t>
        </is>
      </c>
      <c r="C6" s="6" t="inlineStr">
        <is>
          <t>No</t>
        </is>
      </c>
      <c r="D6" s="2" t="inlineStr">
        <is>
          <t>Not billed. Prompt caching shows up only as fewer ACUs.</t>
        </is>
      </c>
    </row>
    <row r="7">
      <c r="A7" t="inlineStr">
        <is>
          <t>Cache read tokens</t>
        </is>
      </c>
      <c r="B7" t="inlineStr">
        <is>
          <t>$0.00</t>
        </is>
      </c>
      <c r="C7" s="6" t="inlineStr">
        <is>
          <t>No</t>
        </is>
      </c>
      <c r="D7" s="2" t="inlineStr">
        <is>
          <t>Not billed.</t>
        </is>
      </c>
    </row>
    <row r="8">
      <c r="A8" t="inlineStr">
        <is>
          <t>Output tokens</t>
        </is>
      </c>
      <c r="B8" t="inlineStr">
        <is>
          <t>$0.00</t>
        </is>
      </c>
      <c r="C8" s="6" t="inlineStr">
        <is>
          <t>No</t>
        </is>
      </c>
      <c r="D8" s="2" t="inlineStr">
        <is>
          <t>Not billed.</t>
        </is>
      </c>
    </row>
    <row r="10">
      <c r="A10" s="16" t="inlineStr">
        <is>
          <t>Measured Devin token rates (tokens per ACU)</t>
        </is>
      </c>
    </row>
    <row r="11">
      <c r="A11" s="3" t="inlineStr">
        <is>
          <t>Region</t>
        </is>
      </c>
      <c r="B11" s="3" t="inlineStr">
        <is>
          <t>Telemetry window</t>
        </is>
      </c>
      <c r="C11" s="3" t="inlineStr">
        <is>
          <t>Iterations</t>
        </is>
      </c>
      <c r="D11" s="3" t="inlineStr">
        <is>
          <t>ACUs in window</t>
        </is>
      </c>
      <c r="E11" s="3" t="inlineStr">
        <is>
          <t>Cache read / ACU</t>
        </is>
      </c>
      <c r="F11" s="3" t="inlineStr">
        <is>
          <t>Cache write / ACU</t>
        </is>
      </c>
      <c r="G11" s="3" t="inlineStr">
        <is>
          <t>Input / ACU</t>
        </is>
      </c>
      <c r="H11" s="3" t="inlineStr">
        <is>
          <t>Output / ACU</t>
        </is>
      </c>
    </row>
    <row r="12">
      <c r="A12" t="inlineStr">
        <is>
          <t>Construction (migration)</t>
        </is>
      </c>
      <c r="B12" s="2" t="inlineStr">
        <is>
          <t>2026-08-28T17:06:25Z -&gt; 2026-08-28T17:18:47Z (iterations 1-57, 40 samples)</t>
        </is>
      </c>
      <c r="C12" t="n">
        <v>56</v>
      </c>
      <c r="D12" t="n">
        <v>7.0588</v>
      </c>
      <c r="E12" s="4" t="n">
        <v>620093</v>
      </c>
      <c r="F12" s="4" t="n">
        <v>9650</v>
      </c>
      <c r="G12" s="4" t="n">
        <v>4544</v>
      </c>
      <c r="H12" s="4" t="n">
        <v>5107</v>
      </c>
    </row>
    <row r="13">
      <c r="A13" t="inlineStr">
        <is>
          <t>Reporting (post-delivery Q&amp;A)</t>
        </is>
      </c>
      <c r="B13" s="2" t="inlineStr">
        <is>
          <t>2026-09-01T10:57:22Z -&gt; 2026-09-01T11:04:31Z (iterations 200-225, 7 samples)</t>
        </is>
      </c>
      <c r="C13" t="n">
        <v>25</v>
      </c>
      <c r="D13" t="n">
        <v>2.7049</v>
      </c>
      <c r="E13" s="4" t="n">
        <v>1062315</v>
      </c>
      <c r="F13" s="4" t="n">
        <v>29888</v>
      </c>
      <c r="G13" s="4" t="n">
        <v>15784</v>
      </c>
      <c r="H13" s="4" t="n">
        <v>14103</v>
      </c>
    </row>
    <row r="15">
      <c r="A15" s="2" t="inlineStr">
        <is>
          <t>Every token cell in the 'AIDLC token &amp; ACU' sheet = that row's ACUs x the rate above for its region. The rates themselves are measured, not assumed: they are the context telemetry of the two fully sampled windows divided by the ACUs consumed in the same windows.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pane ySplit="4" topLeftCell="A5" activePane="bottomLeft" state="frozen"/>
      <selection pane="bottomLeft" activeCell="A1" sqref="A1"/>
    </sheetView>
  </sheetViews>
  <sheetFormatPr baseColWidth="8" defaultRowHeight="15"/>
  <cols>
    <col width="46" customWidth="1" min="1" max="1"/>
    <col width="11" customWidth="1" min="2" max="2"/>
    <col width="15" customWidth="1" min="3" max="3"/>
    <col width="16" customWidth="1" min="4" max="4"/>
    <col width="16" customWidth="1" min="5" max="5"/>
    <col width="11" customWidth="1" min="6" max="6"/>
    <col width="14" customWidth="1" min="7" max="7"/>
    <col width="14" customWidth="1" min="8" max="8"/>
    <col width="13" customWidth="1" min="9" max="9"/>
    <col width="13" customWidth="1" min="10" max="10"/>
  </cols>
  <sheetData>
    <row r="1">
      <c r="A1" s="16" t="inlineStr">
        <is>
          <t>Prompt cache / context reuse (measured)</t>
        </is>
      </c>
    </row>
    <row r="2">
      <c r="A2" s="2" t="inlineStr">
        <is>
          <t>PROXY: context already resident at the start of an iteration (current_context_tokens of the previous iteration). A prompt cache serves exactly this prefix as a cache read. Devin does not expose Claude's cache_read_input_tokens.</t>
        </is>
      </c>
    </row>
    <row r="4">
      <c r="A4" s="3" t="inlineStr">
        <is>
          <t>Window</t>
        </is>
      </c>
      <c r="B4" s="3" t="inlineStr">
        <is>
          <t>Iterations</t>
        </is>
      </c>
      <c r="C4" s="3" t="inlineStr">
        <is>
          <t>Prompt tokens processed</t>
        </is>
      </c>
      <c r="D4" s="3" t="inlineStr">
        <is>
          <t>Cache read (reused prefix)</t>
        </is>
      </c>
      <c r="E4" s="3" t="inlineStr">
        <is>
          <t>Cache write (new tokens)</t>
        </is>
      </c>
      <c r="F4" s="3" t="inlineStr">
        <is>
          <t>Hit rate %</t>
        </is>
      </c>
      <c r="G4" s="3" t="inlineStr">
        <is>
          <t>New tokens / iteration</t>
        </is>
      </c>
      <c r="H4" s="3" t="inlineStr">
        <is>
          <t>Avg context size</t>
        </is>
      </c>
      <c r="I4" s="3" t="inlineStr">
        <is>
          <t>Input tokens</t>
        </is>
      </c>
      <c r="J4" s="3" t="inlineStr">
        <is>
          <t>Output tokens</t>
        </is>
      </c>
    </row>
    <row r="5">
      <c r="A5" t="inlineStr">
        <is>
          <t>Construction, iterations 1-57</t>
        </is>
      </c>
      <c r="B5" t="n">
        <v>56</v>
      </c>
      <c r="C5" s="4" t="n">
        <v>4445242</v>
      </c>
      <c r="D5" s="4" t="n">
        <v>4377122</v>
      </c>
      <c r="E5" s="4" t="n">
        <v>68120</v>
      </c>
      <c r="F5" t="n">
        <v>98.47</v>
      </c>
      <c r="G5" s="4" t="n">
        <v>1216</v>
      </c>
      <c r="H5" s="4" t="n">
        <v>78163</v>
      </c>
      <c r="I5" s="4" t="n">
        <v>32074</v>
      </c>
      <c r="J5" s="4" t="n">
        <v>36046</v>
      </c>
    </row>
    <row r="6">
      <c r="A6" t="inlineStr">
        <is>
          <t>Reporting, iterations 200-225</t>
        </is>
      </c>
      <c r="B6" t="n">
        <v>25</v>
      </c>
      <c r="C6" s="4" t="n">
        <v>2954304</v>
      </c>
      <c r="D6" s="4" t="n">
        <v>2873461</v>
      </c>
      <c r="E6" s="4" t="n">
        <v>80843</v>
      </c>
      <c r="F6" t="n">
        <v>97.26000000000001</v>
      </c>
      <c r="G6" s="4" t="n">
        <v>3234</v>
      </c>
      <c r="H6" s="4" t="n">
        <v>114938</v>
      </c>
      <c r="I6" s="4" t="n">
        <v>42695</v>
      </c>
      <c r="J6" s="4" t="n">
        <v>38148</v>
      </c>
    </row>
    <row r="8">
      <c r="A8" s="6" t="inlineStr">
        <is>
          <t>Findings</t>
        </is>
      </c>
    </row>
    <row r="9">
      <c r="A9" s="2" t="inlineStr">
        <is>
          <t>98.47% of the tokens processed during construction were reused prefix, not new tokens - the stable prompt prefix (package.json + angular.json + tsconfigs + file tree + conventions) did its job.</t>
        </is>
      </c>
    </row>
    <row r="10">
      <c r="A10" s="2" t="inlineStr">
        <is>
          <t>Reporting turns write 3,234 new tokens per iteration vs 1,216 during construction: explaining the migration is more token-dense per iteration than performing it.</t>
        </is>
      </c>
    </row>
    <row r="11">
      <c r="A11" s="2" t="inlineStr">
        <is>
          <t>Peak context reached 148,037 tokens; two compaction events (iterations 197-&gt;200 and 221-&gt;225) discarded context and reset the cached prefix, which is why negative deltas are excluded from cache-write.</t>
        </is>
      </c>
    </row>
    <row r="12">
      <c r="A12" s="2" t="inlineStr">
        <is>
          <t>Devin never charges for any of this: cache efficiency reaches the invoice only as fewer ACUs.</t>
        </is>
      </c>
    </row>
  </sheetData>
  <mergeCells count="4">
    <mergeCell ref="A10:J10"/>
    <mergeCell ref="A9:J9"/>
    <mergeCell ref="A12:J12"/>
    <mergeCell ref="A11:J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8" topLeftCell="A9" activePane="bottomLeft" state="frozen"/>
      <selection pane="bottomLeft" activeCell="A1" sqref="A1"/>
    </sheetView>
  </sheetViews>
  <sheetFormatPr baseColWidth="8" defaultRowHeight="15"/>
  <cols>
    <col width="26" customWidth="1" min="1" max="1"/>
    <col width="16" customWidth="1" min="2" max="2"/>
    <col width="18" customWidth="1" min="3" max="3"/>
    <col width="18" customWidth="1" min="4" max="4"/>
    <col width="15" customWidth="1" min="5" max="5"/>
    <col width="17" customWidth="1" min="6" max="6"/>
    <col width="20" customWidth="1" min="7" max="7"/>
    <col width="22" customWidth="1" min="8" max="8"/>
  </cols>
  <sheetData>
    <row r="1">
      <c r="A1" s="16" t="inlineStr">
        <is>
          <t>Devin's token volume priced at the Claude rate card (comparison only - Devin bills none of this)</t>
        </is>
      </c>
    </row>
    <row r="2">
      <c r="A2" s="17" t="inlineStr">
        <is>
          <t>Rates below are the ones in the customer's Anthropic workbook. This sheet answers the obvious leadership question: 'how does the ACU bill compare with a token bill for the same work?' It is a comparison, not an invoice.</t>
        </is>
      </c>
    </row>
    <row r="4">
      <c r="A4" s="3" t="inlineStr">
        <is>
          <t>Model</t>
        </is>
      </c>
      <c r="B4" s="3" t="inlineStr">
        <is>
          <t>Input $/M</t>
        </is>
      </c>
      <c r="C4" s="3" t="inlineStr">
        <is>
          <t>Cache write $/M</t>
        </is>
      </c>
      <c r="D4" s="3" t="inlineStr">
        <is>
          <t>Cache read $/M</t>
        </is>
      </c>
      <c r="E4" s="3" t="inlineStr">
        <is>
          <t>Output $/M</t>
        </is>
      </c>
    </row>
    <row r="5">
      <c r="A5" t="inlineStr">
        <is>
          <t>Opus</t>
        </is>
      </c>
      <c r="B5" t="n">
        <v>5</v>
      </c>
      <c r="C5" t="n">
        <v>6.25</v>
      </c>
      <c r="D5" t="n">
        <v>0.5</v>
      </c>
      <c r="E5" t="n">
        <v>25</v>
      </c>
    </row>
    <row r="6">
      <c r="A6" t="inlineStr">
        <is>
          <t>Sonnet 4.6</t>
        </is>
      </c>
      <c r="B6" t="n">
        <v>3</v>
      </c>
      <c r="C6" t="n">
        <v>2.5</v>
      </c>
      <c r="D6" t="n">
        <v>0.3</v>
      </c>
      <c r="E6" t="n">
        <v>15</v>
      </c>
    </row>
    <row r="8">
      <c r="A8" s="3" t="inlineStr">
        <is>
          <t>Scope</t>
        </is>
      </c>
      <c r="B8" s="3" t="inlineStr">
        <is>
          <t>Input tokens</t>
        </is>
      </c>
      <c r="C8" s="3" t="inlineStr">
        <is>
          <t>Cache write tokens</t>
        </is>
      </c>
      <c r="D8" s="3" t="inlineStr">
        <is>
          <t>Cache read tokens</t>
        </is>
      </c>
      <c r="E8" s="3" t="inlineStr">
        <is>
          <t>Output tokens</t>
        </is>
      </c>
      <c r="F8" s="3" t="inlineStr">
        <is>
          <t>Token cost @ Opus</t>
        </is>
      </c>
      <c r="G8" s="3" t="inlineStr">
        <is>
          <t>Token cost @ Sonnet 4.6</t>
        </is>
      </c>
      <c r="H8" s="3" t="inlineStr">
        <is>
          <t>Actual Devin bill (ACUs)</t>
        </is>
      </c>
    </row>
    <row r="9">
      <c r="A9" t="inlineStr">
        <is>
          <t>Migration delivery</t>
        </is>
      </c>
      <c r="B9" s="4" t="n">
        <v>92023</v>
      </c>
      <c r="C9" s="4" t="n">
        <v>195443</v>
      </c>
      <c r="D9" s="4" t="n">
        <v>12558382</v>
      </c>
      <c r="E9" s="4" t="n">
        <v>103419</v>
      </c>
      <c r="F9" s="5" t="n">
        <v>10.55</v>
      </c>
      <c r="G9" s="5" t="n">
        <v>6.08</v>
      </c>
      <c r="H9" s="5" t="n">
        <v>45.57</v>
      </c>
    </row>
    <row r="10">
      <c r="A10" t="inlineStr">
        <is>
          <t>Post-delivery reporting</t>
        </is>
      </c>
      <c r="B10" s="4" t="n">
        <v>218851</v>
      </c>
      <c r="C10" s="4" t="n">
        <v>414394</v>
      </c>
      <c r="D10" s="4" t="n">
        <v>14729098</v>
      </c>
      <c r="E10" s="4" t="n">
        <v>195543</v>
      </c>
      <c r="F10" s="5" t="n">
        <v>15.94</v>
      </c>
      <c r="G10" s="5" t="n">
        <v>9.039999999999999</v>
      </c>
      <c r="H10" s="5" t="n">
        <v>31.2</v>
      </c>
    </row>
    <row r="11">
      <c r="A11" t="inlineStr">
        <is>
          <t>Session total</t>
        </is>
      </c>
      <c r="B11" s="4" t="n">
        <v>310874</v>
      </c>
      <c r="C11" s="4" t="n">
        <v>609837</v>
      </c>
      <c r="D11" s="4" t="n">
        <v>27287481</v>
      </c>
      <c r="E11" s="4" t="n">
        <v>298963</v>
      </c>
      <c r="F11" s="5" t="n">
        <v>26.48</v>
      </c>
      <c r="G11" s="5" t="n">
        <v>15.13</v>
      </c>
      <c r="H11" s="5" t="n">
        <v>76.76000000000001</v>
      </c>
    </row>
    <row r="13">
      <c r="A13" s="17" t="inlineStr">
        <is>
          <t>Read this carefully before quoting it: the token bill above covers model inference only. The ACU bill covers inference plus the VM, the browser, every npm install and build, planning and the agent loop. They are not like-for-like, and a low token bill does not mean the same work could be bought for that price.</t>
        </is>
      </c>
    </row>
  </sheetData>
  <mergeCells count="1">
    <mergeCell ref="A13:H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3"/>
  <sheetViews>
    <sheetView workbookViewId="0">
      <pane ySplit="3" topLeftCell="A4" activePane="bottomLeft" state="frozen"/>
      <selection pane="bottomLeft" activeCell="A1" sqref="A1"/>
    </sheetView>
  </sheetViews>
  <sheetFormatPr baseColWidth="8" defaultRowHeight="15"/>
  <cols>
    <col width="22" customWidth="1" min="1" max="1"/>
    <col width="11" customWidth="1" min="2" max="2"/>
    <col width="15" customWidth="1" min="3" max="3"/>
    <col width="14" customWidth="1" min="4" max="4"/>
    <col width="22" customWidth="1" min="5" max="5"/>
    <col width="24" customWidth="1" min="6" max="6"/>
    <col width="30" customWidth="1" min="7" max="7"/>
  </cols>
  <sheetData>
    <row r="1">
      <c r="A1" s="2" t="inlineStr">
        <is>
          <t>Devin session API, event type context_growth_update, session devin-b089339539c84cfb8fe4913619e49d66 (50 sampled agent iterations, 1..235)</t>
        </is>
      </c>
    </row>
    <row r="3">
      <c r="A3" s="3" t="inlineStr">
        <is>
          <t>Timestamp (UTC)</t>
        </is>
      </c>
      <c r="B3" s="3" t="inlineStr">
        <is>
          <t>Iteration</t>
        </is>
      </c>
      <c r="C3" s="3" t="inlineStr">
        <is>
          <t>Context tokens</t>
        </is>
      </c>
      <c r="D3" s="3" t="inlineStr">
        <is>
          <t>Context bytes</t>
        </is>
      </c>
      <c r="E3" s="3" t="inlineStr">
        <is>
          <t>Tool-output bytes (cum.)</t>
        </is>
      </c>
      <c r="F3" s="3" t="inlineStr">
        <is>
          <t>Tool-invocation bytes (cum.)</t>
        </is>
      </c>
      <c r="G3" s="3" t="inlineStr">
        <is>
          <t>Delta context tokens vs previous sample</t>
        </is>
      </c>
    </row>
    <row r="4">
      <c r="A4" t="inlineStr">
        <is>
          <t>2026-08-28T17:06:25Z</t>
        </is>
      </c>
      <c r="B4" t="n">
        <v>1</v>
      </c>
      <c r="C4" s="4" t="n">
        <v>34730</v>
      </c>
      <c r="D4" s="4" t="n">
        <v>62691</v>
      </c>
      <c r="E4" s="4" t="n">
        <v>7471</v>
      </c>
      <c r="F4" s="4" t="n">
        <v>310</v>
      </c>
    </row>
    <row r="5">
      <c r="A5" t="inlineStr">
        <is>
          <t>2026-08-28T17:06:29Z</t>
        </is>
      </c>
      <c r="B5" t="n">
        <v>2</v>
      </c>
      <c r="C5" s="4" t="n">
        <v>38863</v>
      </c>
      <c r="D5" s="4" t="n">
        <v>71918</v>
      </c>
      <c r="E5" s="4" t="n">
        <v>18294</v>
      </c>
      <c r="F5" s="4" t="n">
        <v>487</v>
      </c>
      <c r="G5" s="4" t="n">
        <v>4133</v>
      </c>
    </row>
    <row r="6">
      <c r="A6" t="inlineStr">
        <is>
          <t>2026-08-28T17:06:32Z</t>
        </is>
      </c>
      <c r="B6" t="n">
        <v>3</v>
      </c>
      <c r="C6" s="4" t="n">
        <v>44822</v>
      </c>
      <c r="D6" s="4" t="n">
        <v>84954</v>
      </c>
      <c r="E6" s="4" t="n">
        <v>20712</v>
      </c>
      <c r="F6" s="4" t="n">
        <v>601</v>
      </c>
      <c r="G6" s="4" t="n">
        <v>5959</v>
      </c>
    </row>
    <row r="7">
      <c r="A7" t="inlineStr">
        <is>
          <t>2026-08-28T17:06:42Z</t>
        </is>
      </c>
      <c r="B7" t="n">
        <v>4</v>
      </c>
      <c r="C7" s="4" t="n">
        <v>46325</v>
      </c>
      <c r="D7" s="4" t="n">
        <v>88596</v>
      </c>
      <c r="E7" s="4" t="n">
        <v>37068</v>
      </c>
      <c r="F7" s="4" t="n">
        <v>1944</v>
      </c>
      <c r="G7" s="4" t="n">
        <v>1503</v>
      </c>
    </row>
    <row r="8">
      <c r="A8" t="inlineStr">
        <is>
          <t>2026-08-28T17:06:48Z</t>
        </is>
      </c>
      <c r="B8" t="n">
        <v>5</v>
      </c>
      <c r="C8" s="4" t="n">
        <v>53798</v>
      </c>
      <c r="D8" s="4" t="n">
        <v>106816</v>
      </c>
      <c r="E8" s="4" t="n">
        <v>37764</v>
      </c>
      <c r="F8" s="4" t="n">
        <v>2067</v>
      </c>
      <c r="G8" s="4" t="n">
        <v>7473</v>
      </c>
    </row>
    <row r="9">
      <c r="A9" t="inlineStr">
        <is>
          <t>2026-08-28T17:07:02Z</t>
        </is>
      </c>
      <c r="B9" t="n">
        <v>6</v>
      </c>
      <c r="C9" s="4" t="n">
        <v>54348</v>
      </c>
      <c r="D9" s="4" t="n">
        <v>108761</v>
      </c>
      <c r="E9" s="4" t="n">
        <v>43273</v>
      </c>
      <c r="F9" s="4" t="n">
        <v>2407</v>
      </c>
      <c r="G9" s="4" t="n">
        <v>550</v>
      </c>
    </row>
    <row r="10">
      <c r="A10" t="inlineStr">
        <is>
          <t>2026-08-28T17:07:08Z</t>
        </is>
      </c>
      <c r="B10" t="n">
        <v>7</v>
      </c>
      <c r="C10" s="4" t="n">
        <v>57223</v>
      </c>
      <c r="D10" s="4" t="n">
        <v>118468</v>
      </c>
      <c r="E10" s="4" t="n">
        <v>44046</v>
      </c>
      <c r="F10" s="4" t="n">
        <v>2621</v>
      </c>
      <c r="G10" s="4" t="n">
        <v>2875</v>
      </c>
    </row>
    <row r="11">
      <c r="A11" t="inlineStr">
        <is>
          <t>2026-08-28T17:08:11Z</t>
        </is>
      </c>
      <c r="B11" t="n">
        <v>8</v>
      </c>
      <c r="C11" s="4" t="n">
        <v>58063</v>
      </c>
      <c r="D11" s="4" t="n">
        <v>120977</v>
      </c>
      <c r="E11" s="4" t="n">
        <v>44128</v>
      </c>
      <c r="F11" s="4" t="n">
        <v>12737</v>
      </c>
      <c r="G11" s="4" t="n">
        <v>840</v>
      </c>
    </row>
    <row r="12">
      <c r="A12" t="inlineStr">
        <is>
          <t>2026-08-28T17:08:44Z</t>
        </is>
      </c>
      <c r="B12" t="n">
        <v>9</v>
      </c>
      <c r="C12" s="4" t="n">
        <v>62634</v>
      </c>
      <c r="D12" s="4" t="n">
        <v>131258</v>
      </c>
      <c r="E12" s="4" t="n">
        <v>44220</v>
      </c>
      <c r="F12" s="4" t="n">
        <v>18422</v>
      </c>
      <c r="G12" s="4" t="n">
        <v>4571</v>
      </c>
    </row>
    <row r="13">
      <c r="A13" t="inlineStr">
        <is>
          <t>2026-08-28T17:08:53Z</t>
        </is>
      </c>
      <c r="B13" t="n">
        <v>10</v>
      </c>
      <c r="C13" s="4" t="n">
        <v>65242</v>
      </c>
      <c r="D13" s="4" t="n">
        <v>137075</v>
      </c>
      <c r="E13" s="4" t="n">
        <v>45348</v>
      </c>
      <c r="F13" s="4" t="n">
        <v>18585</v>
      </c>
      <c r="G13" s="4" t="n">
        <v>2608</v>
      </c>
    </row>
    <row r="14">
      <c r="A14" t="inlineStr">
        <is>
          <t>2026-08-28T17:09:16Z</t>
        </is>
      </c>
      <c r="B14" t="n">
        <v>11</v>
      </c>
      <c r="C14" s="4" t="n">
        <v>66137</v>
      </c>
      <c r="D14" s="4" t="n">
        <v>140190</v>
      </c>
      <c r="E14" s="4" t="n">
        <v>47341</v>
      </c>
      <c r="F14" s="4" t="n">
        <v>18735</v>
      </c>
      <c r="G14" s="4" t="n">
        <v>895</v>
      </c>
    </row>
    <row r="15">
      <c r="A15" t="inlineStr">
        <is>
          <t>2026-08-28T17:09:20Z</t>
        </is>
      </c>
      <c r="B15" t="n">
        <v>12</v>
      </c>
      <c r="C15" s="4" t="n">
        <v>67274</v>
      </c>
      <c r="D15" s="4" t="n">
        <v>142949</v>
      </c>
      <c r="E15" s="4" t="n">
        <v>48302</v>
      </c>
      <c r="F15" s="4" t="n">
        <v>19021</v>
      </c>
      <c r="G15" s="4" t="n">
        <v>1137</v>
      </c>
    </row>
    <row r="16">
      <c r="A16" t="inlineStr">
        <is>
          <t>2026-08-28T17:09:39Z</t>
        </is>
      </c>
      <c r="B16" t="n">
        <v>14</v>
      </c>
      <c r="C16" s="4" t="n">
        <v>68386</v>
      </c>
      <c r="D16" s="4" t="n">
        <v>145802</v>
      </c>
      <c r="E16" s="4" t="n">
        <v>49659</v>
      </c>
      <c r="F16" s="4" t="n">
        <v>19431</v>
      </c>
      <c r="G16" s="4" t="n">
        <v>1112</v>
      </c>
    </row>
    <row r="17">
      <c r="A17" t="inlineStr">
        <is>
          <t>2026-08-28T17:09:46Z</t>
        </is>
      </c>
      <c r="B17" t="n">
        <v>15</v>
      </c>
      <c r="C17" s="4" t="n">
        <v>69055</v>
      </c>
      <c r="D17" s="4" t="n">
        <v>148362</v>
      </c>
      <c r="E17" s="4" t="n">
        <v>50552</v>
      </c>
      <c r="F17" s="4" t="n">
        <v>19637</v>
      </c>
      <c r="G17" s="4" t="n">
        <v>669</v>
      </c>
    </row>
    <row r="18">
      <c r="A18" t="inlineStr">
        <is>
          <t>2026-08-28T17:10:16Z</t>
        </is>
      </c>
      <c r="B18" t="n">
        <v>16</v>
      </c>
      <c r="C18" s="4" t="n">
        <v>69586</v>
      </c>
      <c r="D18" s="4" t="n">
        <v>150010</v>
      </c>
      <c r="E18" s="4" t="n">
        <v>52927</v>
      </c>
      <c r="F18" s="4" t="n">
        <v>19906</v>
      </c>
      <c r="G18" s="4" t="n">
        <v>531</v>
      </c>
    </row>
    <row r="19">
      <c r="A19" t="inlineStr">
        <is>
          <t>2026-08-28T17:10:29Z</t>
        </is>
      </c>
      <c r="B19" t="n">
        <v>17</v>
      </c>
      <c r="C19" s="4" t="n">
        <v>70802</v>
      </c>
      <c r="D19" s="4" t="n">
        <v>153694</v>
      </c>
      <c r="E19" s="4" t="n">
        <v>56118</v>
      </c>
      <c r="F19" s="4" t="n">
        <v>19944</v>
      </c>
      <c r="G19" s="4" t="n">
        <v>1216</v>
      </c>
    </row>
    <row r="20">
      <c r="A20" t="inlineStr">
        <is>
          <t>2026-08-28T17:10:45Z</t>
        </is>
      </c>
      <c r="B20" t="n">
        <v>18</v>
      </c>
      <c r="C20" s="4" t="n">
        <v>72047</v>
      </c>
      <c r="D20" s="4" t="n">
        <v>156968</v>
      </c>
      <c r="E20" s="4" t="n">
        <v>56252</v>
      </c>
      <c r="F20" s="4" t="n">
        <v>20114</v>
      </c>
      <c r="G20" s="4" t="n">
        <v>1245</v>
      </c>
    </row>
    <row r="21">
      <c r="A21" t="inlineStr">
        <is>
          <t>2026-08-28T17:11:01Z</t>
        </is>
      </c>
      <c r="B21" t="n">
        <v>20</v>
      </c>
      <c r="C21" s="4" t="n">
        <v>72904</v>
      </c>
      <c r="D21" s="4" t="n">
        <v>159509</v>
      </c>
      <c r="E21" s="4" t="n">
        <v>57725</v>
      </c>
      <c r="F21" s="4" t="n">
        <v>20636</v>
      </c>
      <c r="G21" s="4" t="n">
        <v>857</v>
      </c>
    </row>
    <row r="22">
      <c r="A22" t="inlineStr">
        <is>
          <t>2026-08-28T17:11:12Z</t>
        </is>
      </c>
      <c r="B22" t="n">
        <v>21</v>
      </c>
      <c r="C22" s="4" t="n">
        <v>73986</v>
      </c>
      <c r="D22" s="4" t="n">
        <v>162527</v>
      </c>
      <c r="E22" s="4" t="n">
        <v>59256</v>
      </c>
      <c r="F22" s="4" t="n">
        <v>20851</v>
      </c>
      <c r="G22" s="4" t="n">
        <v>1082</v>
      </c>
    </row>
    <row r="23">
      <c r="A23" t="inlineStr">
        <is>
          <t>2026-08-28T17:11:25Z</t>
        </is>
      </c>
      <c r="B23" t="n">
        <v>23</v>
      </c>
      <c r="C23" s="4" t="n">
        <v>75164</v>
      </c>
      <c r="D23" s="4" t="n">
        <v>165354</v>
      </c>
      <c r="E23" s="4" t="n">
        <v>62429</v>
      </c>
      <c r="F23" s="4" t="n">
        <v>21237</v>
      </c>
      <c r="G23" s="4" t="n">
        <v>1178</v>
      </c>
    </row>
    <row r="24">
      <c r="A24" t="inlineStr">
        <is>
          <t>2026-08-28T17:11:46Z</t>
        </is>
      </c>
      <c r="B24" t="n">
        <v>24</v>
      </c>
      <c r="C24" s="4" t="n">
        <v>76604</v>
      </c>
      <c r="D24" s="4" t="n">
        <v>168614</v>
      </c>
      <c r="E24" s="4" t="n">
        <v>62813</v>
      </c>
      <c r="F24" s="4" t="n">
        <v>21431</v>
      </c>
      <c r="G24" s="4" t="n">
        <v>1440</v>
      </c>
    </row>
    <row r="25">
      <c r="A25" t="inlineStr">
        <is>
          <t>2026-08-28T17:12:14Z</t>
        </is>
      </c>
      <c r="B25" t="n">
        <v>26</v>
      </c>
      <c r="C25" s="4" t="n">
        <v>78033</v>
      </c>
      <c r="D25" s="4" t="n">
        <v>173207</v>
      </c>
      <c r="E25" s="4" t="n">
        <v>64129</v>
      </c>
      <c r="F25" s="4" t="n">
        <v>21961</v>
      </c>
      <c r="G25" s="4" t="n">
        <v>1429</v>
      </c>
    </row>
    <row r="26">
      <c r="A26" t="inlineStr">
        <is>
          <t>2026-08-28T17:12:36Z</t>
        </is>
      </c>
      <c r="B26" t="n">
        <v>28</v>
      </c>
      <c r="C26" s="4" t="n">
        <v>79094</v>
      </c>
      <c r="D26" s="4" t="n">
        <v>175228</v>
      </c>
      <c r="E26" s="4" t="n">
        <v>68653</v>
      </c>
      <c r="F26" s="4" t="n">
        <v>22168</v>
      </c>
      <c r="G26" s="4" t="n">
        <v>1061</v>
      </c>
    </row>
    <row r="27">
      <c r="A27" t="inlineStr">
        <is>
          <t>2026-08-28T17:12:46Z</t>
        </is>
      </c>
      <c r="B27" t="n">
        <v>30</v>
      </c>
      <c r="C27" s="4" t="n">
        <v>81246</v>
      </c>
      <c r="D27" s="4" t="n">
        <v>181172</v>
      </c>
      <c r="E27" s="4" t="n">
        <v>68864</v>
      </c>
      <c r="F27" s="4" t="n">
        <v>23838</v>
      </c>
      <c r="G27" s="4" t="n">
        <v>2152</v>
      </c>
    </row>
    <row r="28">
      <c r="A28" t="inlineStr">
        <is>
          <t>2026-08-28T17:13:16Z</t>
        </is>
      </c>
      <c r="B28" t="n">
        <v>32</v>
      </c>
      <c r="C28" s="4" t="n">
        <v>82268</v>
      </c>
      <c r="D28" s="4" t="n">
        <v>183147</v>
      </c>
      <c r="E28" s="4" t="n">
        <v>71515</v>
      </c>
      <c r="F28" s="4" t="n">
        <v>24383</v>
      </c>
      <c r="G28" s="4" t="n">
        <v>1022</v>
      </c>
    </row>
    <row r="29">
      <c r="A29" t="inlineStr">
        <is>
          <t>2026-08-28T17:13:20Z</t>
        </is>
      </c>
      <c r="B29" t="n">
        <v>33</v>
      </c>
      <c r="C29" s="4" t="n">
        <v>83363</v>
      </c>
      <c r="D29" s="4" t="n">
        <v>185680</v>
      </c>
      <c r="E29" s="4" t="n">
        <v>73598</v>
      </c>
      <c r="F29" s="4" t="n">
        <v>24421</v>
      </c>
      <c r="G29" s="4" t="n">
        <v>1095</v>
      </c>
    </row>
    <row r="30">
      <c r="A30" t="inlineStr">
        <is>
          <t>2026-08-28T17:14:07Z</t>
        </is>
      </c>
      <c r="B30" t="n">
        <v>35</v>
      </c>
      <c r="C30" s="4" t="n">
        <v>84516</v>
      </c>
      <c r="D30" s="4" t="n">
        <v>188246</v>
      </c>
      <c r="E30" s="4" t="n">
        <v>76810</v>
      </c>
      <c r="F30" s="4" t="n">
        <v>24686</v>
      </c>
      <c r="G30" s="4" t="n">
        <v>1153</v>
      </c>
    </row>
    <row r="31">
      <c r="A31" t="inlineStr">
        <is>
          <t>2026-08-28T17:14:13Z</t>
        </is>
      </c>
      <c r="B31" t="n">
        <v>36</v>
      </c>
      <c r="C31" s="4" t="n">
        <v>86140</v>
      </c>
      <c r="D31" s="4" t="n">
        <v>191407</v>
      </c>
      <c r="E31" s="4" t="n">
        <v>78003</v>
      </c>
      <c r="F31" s="4" t="n">
        <v>24904</v>
      </c>
      <c r="G31" s="4" t="n">
        <v>1624</v>
      </c>
    </row>
    <row r="32">
      <c r="A32" t="inlineStr">
        <is>
          <t>2026-08-28T17:14:25Z</t>
        </is>
      </c>
      <c r="B32" t="n">
        <v>38</v>
      </c>
      <c r="C32" s="4" t="n">
        <v>87540</v>
      </c>
      <c r="D32" s="4" t="n">
        <v>195219</v>
      </c>
      <c r="E32" s="4" t="n">
        <v>79352</v>
      </c>
      <c r="F32" s="4" t="n">
        <v>25572</v>
      </c>
      <c r="G32" s="4" t="n">
        <v>1400</v>
      </c>
    </row>
    <row r="33">
      <c r="A33" t="inlineStr">
        <is>
          <t>2026-08-28T17:15:08Z</t>
        </is>
      </c>
      <c r="B33" t="n">
        <v>40</v>
      </c>
      <c r="C33" s="4" t="n">
        <v>88264</v>
      </c>
      <c r="D33" s="4" t="n">
        <v>196468</v>
      </c>
      <c r="E33" s="4" t="n">
        <v>82419</v>
      </c>
      <c r="F33" s="4" t="n">
        <v>25837</v>
      </c>
      <c r="G33" s="4" t="n">
        <v>724</v>
      </c>
    </row>
    <row r="34">
      <c r="A34" t="inlineStr">
        <is>
          <t>2026-08-28T17:15:16Z</t>
        </is>
      </c>
      <c r="B34" t="n">
        <v>42</v>
      </c>
      <c r="C34" s="4" t="n">
        <v>90050</v>
      </c>
      <c r="D34" s="4" t="n">
        <v>200413</v>
      </c>
      <c r="E34" s="4" t="n">
        <v>86776</v>
      </c>
      <c r="F34" s="4" t="n">
        <v>26515</v>
      </c>
      <c r="G34" s="4" t="n">
        <v>1786</v>
      </c>
    </row>
    <row r="35">
      <c r="A35" t="inlineStr">
        <is>
          <t>2026-08-28T17:15:36Z</t>
        </is>
      </c>
      <c r="B35" t="n">
        <v>43</v>
      </c>
      <c r="C35" s="4" t="n">
        <v>92004</v>
      </c>
      <c r="D35" s="4" t="n">
        <v>205067</v>
      </c>
      <c r="E35" s="4" t="n">
        <v>88593</v>
      </c>
      <c r="F35" s="4" t="n">
        <v>26808</v>
      </c>
      <c r="G35" s="4" t="n">
        <v>1954</v>
      </c>
    </row>
    <row r="36">
      <c r="A36" t="inlineStr">
        <is>
          <t>2026-08-28T17:16:17Z</t>
        </is>
      </c>
      <c r="B36" t="n">
        <v>46</v>
      </c>
      <c r="C36" s="4" t="n">
        <v>93868</v>
      </c>
      <c r="D36" s="4" t="n">
        <v>209204</v>
      </c>
      <c r="E36" s="4" t="n">
        <v>91107</v>
      </c>
      <c r="F36" s="4" t="n">
        <v>27348</v>
      </c>
      <c r="G36" s="4" t="n">
        <v>1864</v>
      </c>
    </row>
    <row r="37">
      <c r="A37" t="inlineStr">
        <is>
          <t>2026-08-28T17:16:22Z</t>
        </is>
      </c>
      <c r="B37" t="n">
        <v>47</v>
      </c>
      <c r="C37" s="4" t="n">
        <v>94508</v>
      </c>
      <c r="D37" s="4" t="n">
        <v>211261</v>
      </c>
      <c r="E37" s="4" t="n">
        <v>92752</v>
      </c>
      <c r="F37" s="4" t="n">
        <v>27601</v>
      </c>
      <c r="G37" s="4" t="n">
        <v>640</v>
      </c>
    </row>
    <row r="38">
      <c r="A38" t="inlineStr">
        <is>
          <t>2026-08-28T17:16:31Z</t>
        </is>
      </c>
      <c r="B38" t="n">
        <v>48</v>
      </c>
      <c r="C38" s="4" t="n">
        <v>95507</v>
      </c>
      <c r="D38" s="4" t="n">
        <v>214202</v>
      </c>
      <c r="E38" s="4" t="n">
        <v>94663</v>
      </c>
      <c r="F38" s="4" t="n">
        <v>27818</v>
      </c>
      <c r="G38" s="4" t="n">
        <v>999</v>
      </c>
    </row>
    <row r="39">
      <c r="A39" t="inlineStr">
        <is>
          <t>2026-08-28T17:16:42Z</t>
        </is>
      </c>
      <c r="B39" t="n">
        <v>50</v>
      </c>
      <c r="C39" s="4" t="n">
        <v>97140</v>
      </c>
      <c r="D39" s="4" t="n">
        <v>218369</v>
      </c>
      <c r="E39" s="4" t="n">
        <v>98153</v>
      </c>
      <c r="F39" s="4" t="n">
        <v>28342</v>
      </c>
      <c r="G39" s="4" t="n">
        <v>1633</v>
      </c>
    </row>
    <row r="40">
      <c r="A40" t="inlineStr">
        <is>
          <t>2026-08-28T17:16:54Z</t>
        </is>
      </c>
      <c r="B40" t="n">
        <v>51</v>
      </c>
      <c r="C40" s="4" t="n">
        <v>98496</v>
      </c>
      <c r="D40" s="4" t="n">
        <v>222955</v>
      </c>
      <c r="E40" s="4" t="n">
        <v>104327</v>
      </c>
      <c r="F40" s="4" t="n">
        <v>34406</v>
      </c>
      <c r="G40" s="4" t="n">
        <v>1356</v>
      </c>
    </row>
    <row r="41">
      <c r="A41" t="inlineStr">
        <is>
          <t>2026-08-28T17:18:06Z</t>
        </is>
      </c>
      <c r="B41" t="n">
        <v>54</v>
      </c>
      <c r="C41" s="4" t="n">
        <v>101127</v>
      </c>
      <c r="D41" s="4" t="n">
        <v>228768</v>
      </c>
      <c r="E41" s="4" t="n">
        <v>106030</v>
      </c>
      <c r="F41" s="4" t="n">
        <v>35233</v>
      </c>
      <c r="G41" s="4" t="n">
        <v>2631</v>
      </c>
    </row>
    <row r="42">
      <c r="A42" t="inlineStr">
        <is>
          <t>2026-08-28T17:18:34Z</t>
        </is>
      </c>
      <c r="B42" t="n">
        <v>55</v>
      </c>
      <c r="C42" s="4" t="n">
        <v>101462</v>
      </c>
      <c r="D42" s="4" t="n">
        <v>229361</v>
      </c>
      <c r="E42" s="4" t="n">
        <v>107759</v>
      </c>
      <c r="F42" s="4" t="n">
        <v>35532</v>
      </c>
      <c r="G42" s="4" t="n">
        <v>335</v>
      </c>
    </row>
    <row r="43">
      <c r="A43" t="inlineStr">
        <is>
          <t>2026-08-28T17:18:47Z</t>
        </is>
      </c>
      <c r="B43" t="n">
        <v>57</v>
      </c>
      <c r="C43" s="4" t="n">
        <v>102850</v>
      </c>
      <c r="D43" s="4" t="n">
        <v>233881</v>
      </c>
      <c r="E43" s="4" t="n">
        <v>108459</v>
      </c>
      <c r="F43" s="4" t="n">
        <v>36488</v>
      </c>
      <c r="G43" s="4" t="n">
        <v>1388</v>
      </c>
    </row>
    <row r="44">
      <c r="A44" t="inlineStr">
        <is>
          <t>2026-08-31T06:01:58Z</t>
        </is>
      </c>
      <c r="B44" t="n">
        <v>193</v>
      </c>
      <c r="C44" s="4" t="n">
        <v>120189</v>
      </c>
      <c r="D44" s="4" t="n">
        <v>255267</v>
      </c>
      <c r="E44" s="4" t="n">
        <v>667760</v>
      </c>
      <c r="F44" s="4" t="n">
        <v>155848</v>
      </c>
      <c r="G44" s="4" t="n">
        <v>17339</v>
      </c>
    </row>
    <row r="45">
      <c r="A45" t="inlineStr">
        <is>
          <t>2026-09-01T05:23:34Z</t>
        </is>
      </c>
      <c r="B45" t="n">
        <v>197</v>
      </c>
      <c r="C45" s="4" t="n">
        <v>128784</v>
      </c>
      <c r="D45" s="4" t="n">
        <v>279834</v>
      </c>
      <c r="E45" s="4" t="n">
        <v>673857</v>
      </c>
      <c r="F45" s="4" t="n">
        <v>167682</v>
      </c>
      <c r="G45" s="4" t="n">
        <v>8595</v>
      </c>
    </row>
    <row r="46">
      <c r="A46" t="inlineStr">
        <is>
          <t>2026-09-01T10:57:22Z</t>
        </is>
      </c>
      <c r="B46" t="n">
        <v>200</v>
      </c>
      <c r="C46" s="4" t="n">
        <v>67194</v>
      </c>
      <c r="D46" s="4" t="n">
        <v>145823</v>
      </c>
      <c r="E46" s="4" t="n">
        <v>687149</v>
      </c>
      <c r="F46" s="4" t="n">
        <v>168944</v>
      </c>
      <c r="G46" s="18" t="n">
        <v>-61590</v>
      </c>
    </row>
    <row r="47">
      <c r="A47" t="inlineStr">
        <is>
          <t>2026-09-01T10:57:54Z</t>
        </is>
      </c>
      <c r="B47" t="n">
        <v>203</v>
      </c>
      <c r="C47" s="4" t="n">
        <v>99970</v>
      </c>
      <c r="D47" s="4" t="n">
        <v>189157</v>
      </c>
      <c r="E47" s="4" t="n">
        <v>731644</v>
      </c>
      <c r="F47" s="4" t="n">
        <v>170015</v>
      </c>
      <c r="G47" s="4" t="n">
        <v>32776</v>
      </c>
    </row>
    <row r="48">
      <c r="A48" t="inlineStr">
        <is>
          <t>2026-09-01T10:59:24Z</t>
        </is>
      </c>
      <c r="B48" t="n">
        <v>210</v>
      </c>
      <c r="C48" s="4" t="n">
        <v>111524</v>
      </c>
      <c r="D48" s="4" t="n">
        <v>216253</v>
      </c>
      <c r="E48" s="4" t="n">
        <v>773699</v>
      </c>
      <c r="F48" s="4" t="n">
        <v>174864</v>
      </c>
      <c r="G48" s="4" t="n">
        <v>11554</v>
      </c>
    </row>
    <row r="49">
      <c r="A49" t="inlineStr">
        <is>
          <t>2026-09-01T11:00:36Z</t>
        </is>
      </c>
      <c r="B49" t="n">
        <v>213</v>
      </c>
      <c r="C49" s="4" t="n">
        <v>119237</v>
      </c>
      <c r="D49" s="4" t="n">
        <v>239193</v>
      </c>
      <c r="E49" s="4" t="n">
        <v>782178</v>
      </c>
      <c r="F49" s="4" t="n">
        <v>181860</v>
      </c>
      <c r="G49" s="4" t="n">
        <v>7713</v>
      </c>
    </row>
    <row r="50">
      <c r="A50" t="inlineStr">
        <is>
          <t>2026-09-01T11:03:31Z</t>
        </is>
      </c>
      <c r="B50" t="n">
        <v>216</v>
      </c>
      <c r="C50" s="4" t="n">
        <v>135091</v>
      </c>
      <c r="D50" s="4" t="n">
        <v>280304</v>
      </c>
      <c r="E50" s="4" t="n">
        <v>782650</v>
      </c>
      <c r="F50" s="4" t="n">
        <v>222142</v>
      </c>
      <c r="G50" s="4" t="n">
        <v>15854</v>
      </c>
    </row>
    <row r="51">
      <c r="A51" t="inlineStr">
        <is>
          <t>2026-09-01T11:04:15Z</t>
        </is>
      </c>
      <c r="B51" t="n">
        <v>221</v>
      </c>
      <c r="C51" s="4" t="n">
        <v>148037</v>
      </c>
      <c r="D51" s="4" t="n">
        <v>311815</v>
      </c>
      <c r="E51" s="4" t="n">
        <v>795162</v>
      </c>
      <c r="F51" s="4" t="n">
        <v>226714</v>
      </c>
      <c r="G51" s="4" t="n">
        <v>12946</v>
      </c>
    </row>
    <row r="52">
      <c r="A52" t="inlineStr">
        <is>
          <t>2026-09-01T11:04:31Z</t>
        </is>
      </c>
      <c r="B52" t="n">
        <v>225</v>
      </c>
      <c r="C52" s="4" t="n">
        <v>78241</v>
      </c>
      <c r="D52" s="4" t="n">
        <v>171813</v>
      </c>
      <c r="E52" s="4" t="n">
        <v>815407</v>
      </c>
      <c r="F52" s="4" t="n">
        <v>227988</v>
      </c>
      <c r="G52" s="18" t="n">
        <v>-69796</v>
      </c>
    </row>
    <row r="53">
      <c r="A53" t="inlineStr">
        <is>
          <t>2026-09-01T17:02:26Z</t>
        </is>
      </c>
      <c r="B53" t="n">
        <v>235</v>
      </c>
      <c r="C53" s="4" t="n">
        <v>117283</v>
      </c>
      <c r="D53" s="4" t="n">
        <v>235792</v>
      </c>
      <c r="E53" s="4" t="n">
        <v>856696</v>
      </c>
      <c r="F53" s="4" t="n">
        <v>235168</v>
      </c>
      <c r="G53" s="4" t="n">
        <v>39042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78" customWidth="1" min="3" max="3"/>
    <col width="34" customWidth="1" min="4" max="4"/>
  </cols>
  <sheetData>
    <row r="1">
      <c r="A1" s="3" t="inlineStr">
        <is>
          <t>Figure</t>
        </is>
      </c>
      <c r="B1" s="3" t="inlineStr">
        <is>
          <t>Value</t>
        </is>
      </c>
      <c r="C1" s="3" t="inlineStr">
        <is>
          <t>How it was obtained</t>
        </is>
      </c>
      <c r="D1" s="3" t="inlineStr">
        <is>
          <t>Basis</t>
        </is>
      </c>
    </row>
    <row r="2">
      <c r="A2" t="inlineStr">
        <is>
          <t>Migration ACUs</t>
        </is>
      </c>
      <c r="B2" s="2" t="n">
        <v>20.2524</v>
      </c>
      <c r="C2" s="2" t="inlineStr">
        <is>
          <t>Devin session API: acus_consumed at the end of migration work minus 0 at session start (2026-08-28 17:06:16Z -&gt; 17:52:44Z)</t>
        </is>
      </c>
      <c r="D2" s="2" t="inlineStr">
        <is>
          <t>MEASURED</t>
        </is>
      </c>
    </row>
    <row r="3">
      <c r="A3" t="inlineStr">
        <is>
          <t>Post-delivery reporting ACUs</t>
        </is>
      </c>
      <c r="B3" s="2" t="n">
        <v>13.8651</v>
      </c>
      <c r="C3" s="2" t="inlineStr">
        <is>
          <t>Sum of acu_consumption_at_last_user_interaction deltas for the 7 reporting requests</t>
        </is>
      </c>
      <c r="D3" s="2" t="inlineStr">
        <is>
          <t>MEASURED</t>
        </is>
      </c>
    </row>
    <row r="4">
      <c r="A4" t="inlineStr">
        <is>
          <t>Session ACUs</t>
        </is>
      </c>
      <c r="B4" s="2" t="n">
        <v>34.1175</v>
      </c>
      <c r="C4" s="2" t="inlineStr">
        <is>
          <t>Sum of the two rows above</t>
        </is>
      </c>
      <c r="D4" s="2" t="inlineStr">
        <is>
          <t>MEASURED</t>
        </is>
      </c>
    </row>
    <row r="5">
      <c r="A5" t="inlineStr">
        <is>
          <t>Price per ACU</t>
        </is>
      </c>
      <c r="B5" s="2" t="n">
        <v>2.25</v>
      </c>
      <c r="C5" s="2" t="inlineStr">
        <is>
          <t>Devin list-price assumption. Enterprise rate is set on your order form; re-run with --rate to change it</t>
        </is>
      </c>
      <c r="D5" s="2" t="inlineStr">
        <is>
          <t>ASSUMPTION</t>
        </is>
      </c>
    </row>
    <row r="6">
      <c r="A6" t="inlineStr">
        <is>
          <t>Dollar Value column</t>
        </is>
      </c>
      <c r="B6" s="2" t="inlineStr">
        <is>
          <t>ACUs x rate</t>
        </is>
      </c>
      <c r="C6" s="2" t="inlineStr">
        <is>
          <t>Live formula in the workbook, recomputes if you edit the rate</t>
        </is>
      </c>
      <c r="D6" s="2" t="inlineStr">
        <is>
          <t>MEASURED x ASSUMPTION</t>
        </is>
      </c>
    </row>
    <row r="7">
      <c r="A7" t="inlineStr">
        <is>
          <t>Per-task ACUs</t>
        </is>
      </c>
      <c r="B7" s="2" t="inlineStr">
        <is>
          <t>17 rows</t>
        </is>
      </c>
      <c r="C7" s="2" t="inlineStr">
        <is>
          <t>Measured migration total split pro rata by each task's wall-clock duration, using commit timestamps as boundaries. Devin exposes no per-task ACU counter</t>
        </is>
      </c>
      <c r="D7" s="2" t="inlineStr">
        <is>
          <t>DERIVED</t>
        </is>
      </c>
    </row>
    <row r="8">
      <c r="A8" t="inlineStr">
        <is>
          <t>Cache read tokens</t>
        </is>
      </c>
      <c r="B8" s="2" t="inlineStr">
        <is>
          <t>4,377,122 in the construction window</t>
        </is>
      </c>
      <c r="C8" s="2" t="inlineStr">
        <is>
          <t>context_growth_update: the context resident before each iteration, i.e. the prefix a cache serves</t>
        </is>
      </c>
      <c r="D8" s="2" t="inlineStr">
        <is>
          <t>MEASURED (proxy for Claude's cache_read_input_tokens)</t>
        </is>
      </c>
    </row>
    <row r="9">
      <c r="A9" t="inlineStr">
        <is>
          <t>Cache write tokens</t>
        </is>
      </c>
      <c r="B9" s="2" t="inlineStr">
        <is>
          <t>68,120 in the construction window</t>
        </is>
      </c>
      <c r="C9" s="2" t="inlineStr">
        <is>
          <t>Positive delta of current_context_tokens between iterations</t>
        </is>
      </c>
      <c r="D9" s="2" t="inlineStr">
        <is>
          <t>MEASURED (proxy)</t>
        </is>
      </c>
    </row>
    <row r="10">
      <c r="A10" t="inlineStr">
        <is>
          <t>Input tokens</t>
        </is>
      </c>
      <c r="B10" s="2" t="inlineStr">
        <is>
          <t>32,074 in the construction window</t>
        </is>
      </c>
      <c r="C10" s="2" t="inlineStr">
        <is>
          <t>Share of new tokens attributable to tool results (delta total_tool_output_bytes / measured bytes-per-token)</t>
        </is>
      </c>
      <c r="D10" s="2" t="inlineStr">
        <is>
          <t>MEASURED (proxy)</t>
        </is>
      </c>
    </row>
    <row r="11">
      <c r="A11" t="inlineStr">
        <is>
          <t>Output tokens</t>
        </is>
      </c>
      <c r="B11" s="2" t="inlineStr">
        <is>
          <t>36,046 in the construction window</t>
        </is>
      </c>
      <c r="C11" s="2" t="inlineStr">
        <is>
          <t>New tokens minus tool-result tokens = model-generated text and tool calls</t>
        </is>
      </c>
      <c r="D11" s="2" t="inlineStr">
        <is>
          <t>MEASURED (proxy)</t>
        </is>
      </c>
    </row>
    <row r="12">
      <c r="A12" t="inlineStr">
        <is>
          <t>Token rate per ACU</t>
        </is>
      </c>
      <c r="B12" s="2" t="inlineStr">
        <is>
          <t>see 'Rate card &amp; token rates'</t>
        </is>
      </c>
      <c r="C12" s="2" t="inlineStr">
        <is>
          <t>Construction: window tokens / 7.0588 ACUs consumed in the same window. Reporting: window tokens / 2.7049 ACUs.</t>
        </is>
      </c>
      <c r="D12" s="2" t="inlineStr">
        <is>
          <t>MEASURED</t>
        </is>
      </c>
    </row>
    <row r="13">
      <c r="A13" t="inlineStr">
        <is>
          <t>Per-row token cells</t>
        </is>
      </c>
      <c r="B13" s="2" t="inlineStr">
        <is>
          <t>ACUs x token rate</t>
        </is>
      </c>
      <c r="C13" s="2" t="inlineStr">
        <is>
          <t>Applied per region. Rows inherit the ACU basis of their row (measured for reporting, derived for tasks)</t>
        </is>
      </c>
      <c r="D13" s="2" t="inlineStr">
        <is>
          <t>DERIVED from measured rates</t>
        </is>
      </c>
    </row>
    <row r="14">
      <c r="A14" t="inlineStr">
        <is>
          <t>Model / agent mode</t>
        </is>
      </c>
      <c r="B14" s="2" t="inlineStr">
        <is>
          <t>Not exposed</t>
        </is>
      </c>
      <c r="C14" s="2" t="inlineStr">
        <is>
          <t>The Devin session API returns no model identity or agent mode for a completed session, and Devin publishes no per-mode ACU multiplier. Any Ultra-vs-Normal number would be invented; measure it with a controlled A/B re-run instead</t>
        </is>
      </c>
      <c r="D14" s="2" t="inlineStr">
        <is>
          <t>NOT AVAILABLE</t>
        </is>
      </c>
    </row>
    <row r="15">
      <c r="A15" t="inlineStr">
        <is>
          <t>Claude rate card</t>
        </is>
      </c>
      <c r="B15" s="2" t="inlineStr">
        <is>
          <t>Opus 5/6.25/0.5/25, Sonnet 4.6 3/2.5/0.3/15 USD per million</t>
        </is>
      </c>
      <c r="C15" s="2" t="inlineStr">
        <is>
          <t>Taken from the customer's Anthropic AIDLC workbook, used only on the 'If tokens were billed' sheet</t>
        </is>
      </c>
      <c r="D15" s="2" t="inlineStr">
        <is>
          <t>CUSTOMER-SUPPLIED</t>
        </is>
      </c>
    </row>
    <row r="16">
      <c r="A16" t="inlineStr">
        <is>
          <t>Migration outcome</t>
        </is>
      </c>
      <c r="B16" s="2" t="inlineStr">
        <is>
          <t>PR #35, lint clean, 6/6 unit specs, dev+prod build, 3/3 Playwright e2e</t>
        </is>
      </c>
      <c r="C16" s="2" t="inlineStr">
        <is>
          <t>Local command output on branch devin/1787936828-ng9-to-ng20-migration</t>
        </is>
      </c>
      <c r="D16" s="2" t="inlineStr">
        <is>
          <t>MEASURED</t>
        </is>
      </c>
    </row>
    <row r="17">
      <c r="A17" t="inlineStr">
        <is>
          <t>Browser test run</t>
        </is>
      </c>
      <c r="B17" s="2" t="inlineStr">
        <is>
          <t>Not completed</t>
        </is>
      </c>
      <c r="C17" s="2" t="inlineStr">
        <is>
          <t>The persistent testing-agent run was suspended with usage_limit_exceeded; no recording or screenshots exist</t>
        </is>
      </c>
      <c r="D17" s="2" t="inlineStr">
        <is>
          <t>NOT 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2026-09-01T17:09:05Z</dcterms:created>
  <dcterms:modified xmlns:dcterms="http://purl.org/dc/terms/" xmlns:xsi="http://www.w3.org/2001/XMLSchema-instance" xsi:type="dcterms:W3CDTF">2026-09-01T17:09:05Z</dcterms:modified>
</cp:coreProperties>
</file>