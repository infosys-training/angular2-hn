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U Co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Prompt ca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&quot;$&quot;#,##0.00"/>
    <numFmt numFmtId="166" formatCode="0.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164" fontId="0" fillId="0" borderId="1" pivotButton="0" quotePrefix="0" xfId="0"/>
    <xf numFmtId="165" fontId="0" fillId="0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vertical="top" wrapText="1"/>
    </xf>
    <xf numFmtId="164" fontId="3" fillId="3" borderId="1" pivotButton="0" quotePrefix="0" xfId="0"/>
    <xf numFmtId="165" fontId="3" fillId="3" borderId="1" pivotButton="0" quotePrefix="0" xfId="0"/>
    <xf numFmtId="0" fontId="2" fillId="2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wrapText="1"/>
    </xf>
    <xf numFmtId="3" fontId="0" fillId="0" borderId="1" pivotButton="0" quotePrefix="0" xfId="0"/>
    <xf numFmtId="166" fontId="0" fillId="0" borderId="1" pivotButton="0" quotePrefix="0" xfId="0"/>
    <xf numFmtId="0" fontId="2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62" customWidth="1" min="2" max="2"/>
    <col width="12" customWidth="1" min="3" max="3"/>
    <col width="12" customWidth="1" min="4" max="4"/>
    <col width="13" customWidth="1" min="5" max="5"/>
    <col width="11" customWidth="1" min="6" max="6"/>
    <col width="13" customWidth="1" min="7" max="7"/>
  </cols>
  <sheetData>
    <row r="1">
      <c r="A1" s="1" t="inlineStr">
        <is>
          <t>Angular 9 → 20 migration — Devin ACU cost (AIDLC)</t>
        </is>
      </c>
    </row>
    <row r="2">
      <c r="A2" t="inlineStr">
        <is>
          <t>Rate: $2.25 per ACU</t>
        </is>
      </c>
    </row>
    <row r="3">
      <c r="A3" t="inlineStr">
        <is>
          <t>Session: https://infosys.devinenterprise.com/sessions/b089339539c84cfb8fe4913619e49d66</t>
        </is>
      </c>
    </row>
    <row r="4">
      <c r="A4" t="inlineStr">
        <is>
          <t>Pull request: https://github.com/infosys-training/angular2-hn/pull/35</t>
        </is>
      </c>
    </row>
    <row r="6">
      <c r="A6" s="2" t="inlineStr">
        <is>
          <t>Unit</t>
        </is>
      </c>
      <c r="B6" s="2" t="inlineStr">
        <is>
          <t>AIDLC task</t>
        </is>
      </c>
      <c r="C6" s="2" t="inlineStr">
        <is>
          <t>Start (UTC)</t>
        </is>
      </c>
      <c r="D6" s="2" t="inlineStr">
        <is>
          <t>End (UTC)</t>
        </is>
      </c>
      <c r="E6" s="2" t="inlineStr">
        <is>
          <t>Duration (s)</t>
        </is>
      </c>
      <c r="F6" s="2" t="inlineStr">
        <is>
          <t>ACUs</t>
        </is>
      </c>
      <c r="G6" s="2" t="inlineStr">
        <is>
          <t>Cost (USD)</t>
        </is>
      </c>
    </row>
    <row r="7">
      <c r="A7" s="3" t="inlineStr">
        <is>
          <t>A1-A3</t>
        </is>
      </c>
      <c r="B7" s="4" t="inlineStr">
        <is>
          <t>Inception: read repo config, BRD, units of work + acceptance criteria</t>
        </is>
      </c>
      <c r="C7" s="3" t="inlineStr">
        <is>
          <t>17:06:16</t>
        </is>
      </c>
      <c r="D7" s="3" t="inlineStr">
        <is>
          <t>17:09:20</t>
        </is>
      </c>
      <c r="E7" s="3" t="n">
        <v>184</v>
      </c>
      <c r="F7" s="5" t="n">
        <v>1.7528</v>
      </c>
      <c r="G7" s="6" t="n">
        <v>3.94</v>
      </c>
    </row>
    <row r="8">
      <c r="A8" s="3" t="inlineStr">
        <is>
          <t>B1</t>
        </is>
      </c>
      <c r="B8" s="4" t="inlineStr">
        <is>
          <t>Angular 9 -&gt; 10 (npm package manager, headless karma launcher)</t>
        </is>
      </c>
      <c r="C8" s="3" t="inlineStr">
        <is>
          <t>17:09:20</t>
        </is>
      </c>
      <c r="D8" s="3" t="inlineStr">
        <is>
          <t>17:11:16</t>
        </is>
      </c>
      <c r="E8" s="3" t="n">
        <v>116</v>
      </c>
      <c r="F8" s="5" t="n">
        <v>1.105</v>
      </c>
      <c r="G8" s="6" t="n">
        <v>2.49</v>
      </c>
    </row>
    <row r="9">
      <c r="A9" s="3" t="inlineStr">
        <is>
          <t>B2</t>
        </is>
      </c>
      <c r="B9" s="4" t="inlineStr">
        <is>
          <t>Angular 10 -&gt; 11 (+ first unit specs, legacy-peer-deps)</t>
        </is>
      </c>
      <c r="C9" s="3" t="inlineStr">
        <is>
          <t>17:11:16</t>
        </is>
      </c>
      <c r="D9" s="3" t="inlineStr">
        <is>
          <t>17:13:00</t>
        </is>
      </c>
      <c r="E9" s="3" t="n">
        <v>104</v>
      </c>
      <c r="F9" s="5" t="n">
        <v>0.9907</v>
      </c>
      <c r="G9" s="6" t="n">
        <v>2.23</v>
      </c>
    </row>
    <row r="10">
      <c r="A10" s="3" t="inlineStr">
        <is>
          <t>B3</t>
        </is>
      </c>
      <c r="B10" s="4" t="inlineStr">
        <is>
          <t>Angular 11 -&gt; 12</t>
        </is>
      </c>
      <c r="C10" s="3" t="inlineStr">
        <is>
          <t>17:13:00</t>
        </is>
      </c>
      <c r="D10" s="3" t="inlineStr">
        <is>
          <t>17:14:13</t>
        </is>
      </c>
      <c r="E10" s="3" t="n">
        <v>73</v>
      </c>
      <c r="F10" s="5" t="n">
        <v>0.6954</v>
      </c>
      <c r="G10" s="6" t="n">
        <v>1.56</v>
      </c>
    </row>
    <row r="11">
      <c r="A11" s="3" t="inlineStr">
        <is>
          <t>C1</t>
        </is>
      </c>
      <c r="B11" s="4" t="inlineStr">
        <is>
          <t>RxJS 7 imports, drop rxjs-compat, sass math.div</t>
        </is>
      </c>
      <c r="C11" s="3" t="inlineStr">
        <is>
          <t>17:14:13</t>
        </is>
      </c>
      <c r="D11" s="3" t="inlineStr">
        <is>
          <t>17:15:20</t>
        </is>
      </c>
      <c r="E11" s="3" t="n">
        <v>67</v>
      </c>
      <c r="F11" s="5" t="n">
        <v>0.6382</v>
      </c>
      <c r="G11" s="6" t="n">
        <v>1.44</v>
      </c>
    </row>
    <row r="12">
      <c r="A12" s="3" t="inlineStr">
        <is>
          <t>B4</t>
        </is>
      </c>
      <c r="B12" s="4" t="inlineStr">
        <is>
          <t>Angular 12 -&gt; 13</t>
        </is>
      </c>
      <c r="C12" s="3" t="inlineStr">
        <is>
          <t>17:15:20</t>
        </is>
      </c>
      <c r="D12" s="3" t="inlineStr">
        <is>
          <t>17:16:04</t>
        </is>
      </c>
      <c r="E12" s="3" t="n">
        <v>44</v>
      </c>
      <c r="F12" s="5" t="n">
        <v>0.4191</v>
      </c>
      <c r="G12" s="6" t="n">
        <v>0.9399999999999999</v>
      </c>
    </row>
    <row r="13">
      <c r="A13" s="3" t="inlineStr">
        <is>
          <t>C5</t>
        </is>
      </c>
      <c r="B13" s="4" t="inlineStr">
        <is>
          <t>TSLint/codelyzer -&gt; angular-eslint + fix violations</t>
        </is>
      </c>
      <c r="C13" s="3" t="inlineStr">
        <is>
          <t>17:16:04</t>
        </is>
      </c>
      <c r="D13" s="3" t="inlineStr">
        <is>
          <t>17:17:18</t>
        </is>
      </c>
      <c r="E13" s="3" t="n">
        <v>74</v>
      </c>
      <c r="F13" s="5" t="n">
        <v>0.7049</v>
      </c>
      <c r="G13" s="6" t="n">
        <v>1.59</v>
      </c>
    </row>
    <row r="14">
      <c r="A14" s="3" t="inlineStr">
        <is>
          <t>B5</t>
        </is>
      </c>
      <c r="B14" s="4" t="inlineStr">
        <is>
          <t>Angular 13 -&gt; 14</t>
        </is>
      </c>
      <c r="C14" s="3" t="inlineStr">
        <is>
          <t>17:17:18</t>
        </is>
      </c>
      <c r="D14" s="3" t="inlineStr">
        <is>
          <t>17:18:12</t>
        </is>
      </c>
      <c r="E14" s="3" t="n">
        <v>54</v>
      </c>
      <c r="F14" s="5" t="n">
        <v>0.5144</v>
      </c>
      <c r="G14" s="6" t="n">
        <v>1.16</v>
      </c>
    </row>
    <row r="15">
      <c r="A15" s="3" t="inlineStr">
        <is>
          <t>B6</t>
        </is>
      </c>
      <c r="B15" s="4" t="inlineStr">
        <is>
          <t>Angular 14 -&gt; 15 (+ Protractor removal)</t>
        </is>
      </c>
      <c r="C15" s="3" t="inlineStr">
        <is>
          <t>17:18:12</t>
        </is>
      </c>
      <c r="D15" s="3" t="inlineStr">
        <is>
          <t>17:19:17</t>
        </is>
      </c>
      <c r="E15" s="3" t="n">
        <v>65</v>
      </c>
      <c r="F15" s="5" t="n">
        <v>0.6192</v>
      </c>
      <c r="G15" s="6" t="n">
        <v>1.39</v>
      </c>
    </row>
    <row r="16">
      <c r="A16" s="3" t="inlineStr">
        <is>
          <t>B7</t>
        </is>
      </c>
      <c r="B16" s="4" t="inlineStr">
        <is>
          <t>Angular 15 -&gt; 16</t>
        </is>
      </c>
      <c r="C16" s="3" t="inlineStr">
        <is>
          <t>17:19:17</t>
        </is>
      </c>
      <c r="D16" s="3" t="inlineStr">
        <is>
          <t>17:20:04</t>
        </is>
      </c>
      <c r="E16" s="3" t="n">
        <v>47</v>
      </c>
      <c r="F16" s="5" t="n">
        <v>0.4477</v>
      </c>
      <c r="G16" s="6" t="n">
        <v>1.01</v>
      </c>
    </row>
    <row r="17">
      <c r="A17" s="3" t="inlineStr">
        <is>
          <t>B8</t>
        </is>
      </c>
      <c r="B17" s="4" t="inlineStr">
        <is>
          <t>Angular 16 -&gt; 17</t>
        </is>
      </c>
      <c r="C17" s="3" t="inlineStr">
        <is>
          <t>17:20:04</t>
        </is>
      </c>
      <c r="D17" s="3" t="inlineStr">
        <is>
          <t>17:20:52</t>
        </is>
      </c>
      <c r="E17" s="3" t="n">
        <v>48</v>
      </c>
      <c r="F17" s="5" t="n">
        <v>0.4573</v>
      </c>
      <c r="G17" s="6" t="n">
        <v>1.03</v>
      </c>
    </row>
    <row r="18">
      <c r="A18" s="3" t="inlineStr">
        <is>
          <t>B9</t>
        </is>
      </c>
      <c r="B18" s="4" t="inlineStr">
        <is>
          <t>Angular 17 -&gt; 18</t>
        </is>
      </c>
      <c r="C18" s="3" t="inlineStr">
        <is>
          <t>17:20:52</t>
        </is>
      </c>
      <c r="D18" s="3" t="inlineStr">
        <is>
          <t>17:21:41</t>
        </is>
      </c>
      <c r="E18" s="3" t="n">
        <v>49</v>
      </c>
      <c r="F18" s="5" t="n">
        <v>0.4668</v>
      </c>
      <c r="G18" s="6" t="n">
        <v>1.05</v>
      </c>
    </row>
    <row r="19">
      <c r="A19" s="3" t="inlineStr">
        <is>
          <t>C9+B10</t>
        </is>
      </c>
      <c r="B19" s="4" t="inlineStr">
        <is>
          <t>Standalone migration, provideRouter/provideServiceWorker bootstrap, Angular 19</t>
        </is>
      </c>
      <c r="C19" s="3" t="inlineStr">
        <is>
          <t>17:21:41</t>
        </is>
      </c>
      <c r="D19" s="3" t="inlineStr">
        <is>
          <t>17:24:14</t>
        </is>
      </c>
      <c r="E19" s="3" t="n">
        <v>153</v>
      </c>
      <c r="F19" s="5" t="n">
        <v>1.4575</v>
      </c>
      <c r="G19" s="6" t="n">
        <v>3.28</v>
      </c>
    </row>
    <row r="20">
      <c r="A20" s="3" t="inlineStr">
        <is>
          <t>B11+C6-C8</t>
        </is>
      </c>
      <c r="B20" s="4" t="inlineStr">
        <is>
          <t>Angular 20, application builder, control flow, inject(), Playwright e2e, ops config</t>
        </is>
      </c>
      <c r="C20" s="3" t="inlineStr">
        <is>
          <t>17:24:14</t>
        </is>
      </c>
      <c r="D20" s="3" t="inlineStr">
        <is>
          <t>17:28:09</t>
        </is>
      </c>
      <c r="E20" s="3" t="n">
        <v>235</v>
      </c>
      <c r="F20" s="5" t="n">
        <v>2.2386</v>
      </c>
      <c r="G20" s="6" t="n">
        <v>5.04</v>
      </c>
    </row>
    <row r="21">
      <c r="A21" s="3" t="inlineStr">
        <is>
          <t>E1-E2</t>
        </is>
      </c>
      <c r="B21" s="4" t="inlineStr">
        <is>
          <t>AIDLC prompt-prefix generator, cost tooling, final unit status</t>
        </is>
      </c>
      <c r="C21" s="3" t="inlineStr">
        <is>
          <t>17:28:09</t>
        </is>
      </c>
      <c r="D21" s="3" t="inlineStr">
        <is>
          <t>17:30:54</t>
        </is>
      </c>
      <c r="E21" s="3" t="n">
        <v>165</v>
      </c>
      <c r="F21" s="5" t="n">
        <v>1.5718</v>
      </c>
      <c r="G21" s="6" t="n">
        <v>3.54</v>
      </c>
    </row>
    <row r="22">
      <c r="A22" s="3" t="inlineStr">
        <is>
          <t>D-PR</t>
        </is>
      </c>
      <c r="B22" s="4" t="inlineStr">
        <is>
          <t>PR #35 creation and summary</t>
        </is>
      </c>
      <c r="C22" s="3" t="inlineStr">
        <is>
          <t>17:30:54</t>
        </is>
      </c>
      <c r="D22" s="3" t="inlineStr">
        <is>
          <t>17:31:52</t>
        </is>
      </c>
      <c r="E22" s="3" t="n">
        <v>58</v>
      </c>
      <c r="F22" s="5" t="n">
        <v>0.5525</v>
      </c>
      <c r="G22" s="6" t="n">
        <v>1.24</v>
      </c>
    </row>
    <row r="23">
      <c r="A23" s="3" t="inlineStr">
        <is>
          <t>V1</t>
        </is>
      </c>
      <c r="B23" s="4" t="inlineStr">
        <is>
          <t>Post-PR verification (prod build, service worker/manifest serve check), test plan, testing handoff</t>
        </is>
      </c>
      <c r="C23" s="3" t="inlineStr">
        <is>
          <t>17:42:54</t>
        </is>
      </c>
      <c r="D23" s="3" t="inlineStr">
        <is>
          <t>17:52:44</t>
        </is>
      </c>
      <c r="E23" s="3" t="n">
        <v>590</v>
      </c>
      <c r="F23" s="5" t="n">
        <v>5.6204</v>
      </c>
      <c r="G23" s="6" t="n">
        <v>12.65</v>
      </c>
    </row>
    <row r="24">
      <c r="A24" s="7" t="inlineStr">
        <is>
          <t>Total</t>
        </is>
      </c>
      <c r="B24" s="8" t="inlineStr">
        <is>
          <t>Angular 9 → 20 migration</t>
        </is>
      </c>
      <c r="C24" s="7" t="inlineStr"/>
      <c r="D24" s="7" t="inlineStr"/>
      <c r="E24" s="7">
        <f>SUM(E7:E23)</f>
        <v/>
      </c>
      <c r="F24" s="9">
        <f>SUM(F7:F23)</f>
        <v/>
      </c>
      <c r="G24" s="10">
        <f>SUM(G7:G23)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110" customWidth="1" min="2" max="2"/>
  </cols>
  <sheetData>
    <row r="1">
      <c r="A1" s="11" t="inlineStr">
        <is>
          <t>Metric</t>
        </is>
      </c>
      <c r="B1" s="11" t="inlineStr">
        <is>
          <t>Value</t>
        </is>
      </c>
    </row>
    <row r="2">
      <c r="A2" t="inlineStr">
        <is>
          <t>Repository</t>
        </is>
      </c>
      <c r="B2" s="12" t="inlineStr">
        <is>
          <t>infosys-training/angular2-hn</t>
        </is>
      </c>
    </row>
    <row r="3">
      <c r="A3" t="inlineStr">
        <is>
          <t>Session</t>
        </is>
      </c>
      <c r="B3" s="12" t="inlineStr">
        <is>
          <t>https://infosys.devinenterprise.com/sessions/b089339539c84cfb8fe4913619e49d66</t>
        </is>
      </c>
    </row>
    <row r="4">
      <c r="A4" t="inlineStr">
        <is>
          <t>Pull request</t>
        </is>
      </c>
      <c r="B4" s="12" t="inlineStr">
        <is>
          <t>https://github.com/infosys-training/angular2-hn/pull/35</t>
        </is>
      </c>
    </row>
    <row r="5">
      <c r="A5" t="inlineStr">
        <is>
          <t>Metric type</t>
        </is>
      </c>
      <c r="B5" s="12" t="inlineStr">
        <is>
          <t>ACU (Agent Compute Unit)</t>
        </is>
      </c>
    </row>
    <row r="6">
      <c r="A6" t="inlineStr">
        <is>
          <t>Source</t>
        </is>
      </c>
      <c r="B6" s="12" t="inlineStr">
        <is>
          <t>Devin session API: acu_consumption_at_last_user_interaction events + session acus_consumed</t>
        </is>
      </c>
    </row>
    <row r="7">
      <c r="A7" t="inlineStr">
        <is>
          <t>ACUs at session start</t>
        </is>
      </c>
      <c r="B7" s="12" t="n">
        <v>0</v>
      </c>
    </row>
    <row r="8">
      <c r="A8" t="inlineStr">
        <is>
          <t>ACUs at end of migration work</t>
        </is>
      </c>
      <c r="B8" s="12" t="n">
        <v>20.25240595570298</v>
      </c>
    </row>
    <row r="9">
      <c r="A9" t="inlineStr">
        <is>
          <t>Migration ACUs (measured)</t>
        </is>
      </c>
      <c r="B9" s="12" t="n">
        <v>20.25240595570298</v>
      </c>
    </row>
    <row r="10">
      <c r="A10" t="inlineStr">
        <is>
          <t>Migration window (UTC)</t>
        </is>
      </c>
      <c r="B10" s="12" t="inlineStr">
        <is>
          <t>2026-08-28T17:06:16Z → 2026-08-28T17:52:44Z</t>
        </is>
      </c>
    </row>
    <row r="11">
      <c r="A11" t="inlineStr">
        <is>
          <t>Billable wall-clock (minutes)</t>
        </is>
      </c>
      <c r="B11" s="12" t="n">
        <v>35.43</v>
      </c>
    </row>
    <row r="12">
      <c r="A12" t="inlineStr">
        <is>
          <t>Price per ACU (USD)</t>
        </is>
      </c>
      <c r="B12" s="12" t="n">
        <v>2.25</v>
      </c>
    </row>
    <row r="13">
      <c r="A13" t="inlineStr">
        <is>
          <t>Total cost (USD)</t>
        </is>
      </c>
      <c r="B13" s="13" t="n">
        <v>45.57</v>
      </c>
    </row>
    <row r="14">
      <c r="A14" t="inlineStr">
        <is>
          <t>Attribution method</t>
        </is>
      </c>
      <c r="B14" s="12" t="inlineStr">
        <is>
          <t>Session-level ACU total is measured. Per-task values are attributed pro rata by each task's wall-clock duration, using commit timestamps on branch devin/1787936828-ng9-to-ng20-migration as task boundaries. Devin does not expose per-task ACU counters.</t>
        </is>
      </c>
    </row>
    <row r="15">
      <c r="A15" t="inlineStr">
        <is>
          <t>Confidence</t>
        </is>
      </c>
      <c r="B15" s="12" t="inlineStr">
        <is>
          <t>task rows are derived, not measured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24" customWidth="1" min="3" max="3"/>
    <col width="22" customWidth="1" min="4" max="4"/>
    <col width="24" customWidth="1" min="5" max="5"/>
    <col width="16" customWidth="1" min="6" max="6"/>
  </cols>
  <sheetData>
    <row r="1">
      <c r="A1" s="1" t="inlineStr">
        <is>
          <t>Prompt cache / context reuse</t>
        </is>
      </c>
    </row>
    <row r="2">
      <c r="A2" t="inlineStr">
        <is>
          <t>Devin bills in ACUs and does not price prompt cache separately, nor expose Claude cache_read_input_tokens/cache_creation_input_tokens. These figures are derived from the session's context_growth_update telemetry (current_context_tokens per agent iteration): the stable prefix re-sent on iteration N (= context size at N-1) is what a prompt cache serves as a cache read, and the delta is newly written cache.</t>
        </is>
      </c>
    </row>
    <row r="3">
      <c r="A3" t="inlineStr">
        <is>
          <t>Source: context_growth_update events (41 samples, iterations 1-59), linearly interpolated between samples</t>
        </is>
      </c>
    </row>
    <row r="5">
      <c r="A5" s="14" t="inlineStr">
        <is>
          <t>Scope</t>
        </is>
      </c>
      <c r="B5" s="14" t="inlineStr">
        <is>
          <t>Iterations</t>
        </is>
      </c>
      <c r="C5" s="14" t="inlineStr">
        <is>
          <t>Prompt tokens processed</t>
        </is>
      </c>
      <c r="D5" s="14" t="inlineStr">
        <is>
          <t>Cache-read tokens</t>
        </is>
      </c>
      <c r="E5" s="14" t="inlineStr">
        <is>
          <t>Cache-creation tokens</t>
        </is>
      </c>
      <c r="F5" s="14" t="inlineStr">
        <is>
          <t>Cache hit rate</t>
        </is>
      </c>
    </row>
    <row r="6">
      <c r="A6" s="3" t="inlineStr">
        <is>
          <t>Measured window</t>
        </is>
      </c>
      <c r="B6" s="3" t="inlineStr">
        <is>
          <t>1-59</t>
        </is>
      </c>
      <c r="C6" s="15" t="n">
        <v>4687264</v>
      </c>
      <c r="D6" s="15" t="n">
        <v>4583352</v>
      </c>
      <c r="E6" s="15" t="n">
        <v>103912</v>
      </c>
      <c r="F6" s="16" t="n">
        <v>0.978</v>
      </c>
    </row>
    <row r="7">
      <c r="A7" s="3" t="inlineStr">
        <is>
          <t>Full session (extrapolated)</t>
        </is>
      </c>
      <c r="B7" s="3" t="inlineStr">
        <is>
          <t>1-150</t>
        </is>
      </c>
      <c r="C7" s="15" t="n">
        <v>19136288</v>
      </c>
      <c r="D7" s="15" t="n">
        <v>18923832</v>
      </c>
      <c r="E7" s="15" t="n">
        <v>212456</v>
      </c>
      <c r="F7" s="16" t="n">
        <v>0.9890000000000001</v>
      </c>
    </row>
    <row r="9">
      <c r="A9" s="17" t="inlineStr">
        <is>
          <t>Agent iteration</t>
        </is>
      </c>
      <c r="B9" s="17" t="inlineStr">
        <is>
          <t>Context tokens</t>
        </is>
      </c>
      <c r="C9" s="17" t="inlineStr">
        <is>
          <t>Cache-read tokens</t>
        </is>
      </c>
      <c r="D9" s="17" t="inlineStr">
        <is>
          <t>Cache-creation tokens</t>
        </is>
      </c>
    </row>
    <row r="10">
      <c r="A10" s="15" t="n">
        <v>1</v>
      </c>
      <c r="B10" s="15" t="n">
        <v>34730</v>
      </c>
      <c r="C10" s="15" t="n">
        <v>0</v>
      </c>
      <c r="D10" s="15" t="n">
        <v>34730</v>
      </c>
    </row>
    <row r="11">
      <c r="A11" s="15" t="n">
        <v>2</v>
      </c>
      <c r="B11" s="15" t="n">
        <v>38863</v>
      </c>
      <c r="C11" s="15" t="n">
        <v>34730</v>
      </c>
      <c r="D11" s="15" t="n">
        <v>4133</v>
      </c>
    </row>
    <row r="12">
      <c r="A12" s="15" t="n">
        <v>3</v>
      </c>
      <c r="B12" s="15" t="n">
        <v>44822</v>
      </c>
      <c r="C12" s="15" t="n">
        <v>38863</v>
      </c>
      <c r="D12" s="15" t="n">
        <v>5959</v>
      </c>
    </row>
    <row r="13">
      <c r="A13" s="15" t="n">
        <v>4</v>
      </c>
      <c r="B13" s="15" t="n">
        <v>46325</v>
      </c>
      <c r="C13" s="15" t="n">
        <v>44822</v>
      </c>
      <c r="D13" s="15" t="n">
        <v>1503</v>
      </c>
    </row>
    <row r="14">
      <c r="A14" s="15" t="n">
        <v>5</v>
      </c>
      <c r="B14" s="15" t="n">
        <v>53798</v>
      </c>
      <c r="C14" s="15" t="n">
        <v>46325</v>
      </c>
      <c r="D14" s="15" t="n">
        <v>7473</v>
      </c>
    </row>
    <row r="15">
      <c r="A15" s="15" t="n">
        <v>6</v>
      </c>
      <c r="B15" s="15" t="n">
        <v>54348</v>
      </c>
      <c r="C15" s="15" t="n">
        <v>53798</v>
      </c>
      <c r="D15" s="15" t="n">
        <v>550</v>
      </c>
    </row>
    <row r="16">
      <c r="A16" s="15" t="n">
        <v>7</v>
      </c>
      <c r="B16" s="15" t="n">
        <v>57223</v>
      </c>
      <c r="C16" s="15" t="n">
        <v>54348</v>
      </c>
      <c r="D16" s="15" t="n">
        <v>2875</v>
      </c>
    </row>
    <row r="17">
      <c r="A17" s="15" t="n">
        <v>8</v>
      </c>
      <c r="B17" s="15" t="n">
        <v>58063</v>
      </c>
      <c r="C17" s="15" t="n">
        <v>57223</v>
      </c>
      <c r="D17" s="15" t="n">
        <v>840</v>
      </c>
    </row>
    <row r="18">
      <c r="A18" s="15" t="n">
        <v>9</v>
      </c>
      <c r="B18" s="15" t="n">
        <v>62634</v>
      </c>
      <c r="C18" s="15" t="n">
        <v>58063</v>
      </c>
      <c r="D18" s="15" t="n">
        <v>4571</v>
      </c>
    </row>
    <row r="19">
      <c r="A19" s="15" t="n">
        <v>10</v>
      </c>
      <c r="B19" s="15" t="n">
        <v>65242</v>
      </c>
      <c r="C19" s="15" t="n">
        <v>62634</v>
      </c>
      <c r="D19" s="15" t="n">
        <v>2608</v>
      </c>
    </row>
    <row r="20">
      <c r="A20" s="15" t="n">
        <v>11</v>
      </c>
      <c r="B20" s="15" t="n">
        <v>66137</v>
      </c>
      <c r="C20" s="15" t="n">
        <v>65242</v>
      </c>
      <c r="D20" s="15" t="n">
        <v>895</v>
      </c>
    </row>
    <row r="21">
      <c r="A21" s="15" t="n">
        <v>12</v>
      </c>
      <c r="B21" s="15" t="n">
        <v>67274</v>
      </c>
      <c r="C21" s="15" t="n">
        <v>66137</v>
      </c>
      <c r="D21" s="15" t="n">
        <v>1137</v>
      </c>
    </row>
    <row r="22">
      <c r="A22" s="15" t="n">
        <v>13</v>
      </c>
      <c r="B22" s="15" t="n">
        <v>67830</v>
      </c>
      <c r="C22" s="15" t="n">
        <v>67274</v>
      </c>
      <c r="D22" s="15" t="n">
        <v>556</v>
      </c>
    </row>
    <row r="23">
      <c r="A23" s="15" t="n">
        <v>14</v>
      </c>
      <c r="B23" s="15" t="n">
        <v>68386</v>
      </c>
      <c r="C23" s="15" t="n">
        <v>67830</v>
      </c>
      <c r="D23" s="15" t="n">
        <v>556</v>
      </c>
    </row>
    <row r="24">
      <c r="A24" s="15" t="n">
        <v>15</v>
      </c>
      <c r="B24" s="15" t="n">
        <v>69055</v>
      </c>
      <c r="C24" s="15" t="n">
        <v>68386</v>
      </c>
      <c r="D24" s="15" t="n">
        <v>669</v>
      </c>
    </row>
    <row r="25">
      <c r="A25" s="15" t="n">
        <v>16</v>
      </c>
      <c r="B25" s="15" t="n">
        <v>69586</v>
      </c>
      <c r="C25" s="15" t="n">
        <v>69055</v>
      </c>
      <c r="D25" s="15" t="n">
        <v>531</v>
      </c>
    </row>
    <row r="26">
      <c r="A26" s="15" t="n">
        <v>17</v>
      </c>
      <c r="B26" s="15" t="n">
        <v>70802</v>
      </c>
      <c r="C26" s="15" t="n">
        <v>69586</v>
      </c>
      <c r="D26" s="15" t="n">
        <v>1216</v>
      </c>
    </row>
    <row r="27">
      <c r="A27" s="15" t="n">
        <v>18</v>
      </c>
      <c r="B27" s="15" t="n">
        <v>72047</v>
      </c>
      <c r="C27" s="15" t="n">
        <v>70802</v>
      </c>
      <c r="D27" s="15" t="n">
        <v>1245</v>
      </c>
    </row>
    <row r="28">
      <c r="A28" s="15" t="n">
        <v>19</v>
      </c>
      <c r="B28" s="15" t="n">
        <v>72476</v>
      </c>
      <c r="C28" s="15" t="n">
        <v>72047</v>
      </c>
      <c r="D28" s="15" t="n">
        <v>429</v>
      </c>
    </row>
    <row r="29">
      <c r="A29" s="15" t="n">
        <v>20</v>
      </c>
      <c r="B29" s="15" t="n">
        <v>72904</v>
      </c>
      <c r="C29" s="15" t="n">
        <v>72476</v>
      </c>
      <c r="D29" s="15" t="n">
        <v>428</v>
      </c>
    </row>
    <row r="30">
      <c r="A30" s="15" t="n">
        <v>21</v>
      </c>
      <c r="B30" s="15" t="n">
        <v>73986</v>
      </c>
      <c r="C30" s="15" t="n">
        <v>72904</v>
      </c>
      <c r="D30" s="15" t="n">
        <v>1082</v>
      </c>
    </row>
    <row r="31">
      <c r="A31" s="15" t="n">
        <v>22</v>
      </c>
      <c r="B31" s="15" t="n">
        <v>74575</v>
      </c>
      <c r="C31" s="15" t="n">
        <v>73986</v>
      </c>
      <c r="D31" s="15" t="n">
        <v>589</v>
      </c>
    </row>
    <row r="32">
      <c r="A32" s="15" t="n">
        <v>23</v>
      </c>
      <c r="B32" s="15" t="n">
        <v>75164</v>
      </c>
      <c r="C32" s="15" t="n">
        <v>74575</v>
      </c>
      <c r="D32" s="15" t="n">
        <v>589</v>
      </c>
    </row>
    <row r="33">
      <c r="A33" s="15" t="n">
        <v>24</v>
      </c>
      <c r="B33" s="15" t="n">
        <v>76604</v>
      </c>
      <c r="C33" s="15" t="n">
        <v>75164</v>
      </c>
      <c r="D33" s="15" t="n">
        <v>1440</v>
      </c>
    </row>
    <row r="34">
      <c r="A34" s="15" t="n">
        <v>25</v>
      </c>
      <c r="B34" s="15" t="n">
        <v>77318</v>
      </c>
      <c r="C34" s="15" t="n">
        <v>76604</v>
      </c>
      <c r="D34" s="15" t="n">
        <v>714</v>
      </c>
    </row>
    <row r="35">
      <c r="A35" s="15" t="n">
        <v>26</v>
      </c>
      <c r="B35" s="15" t="n">
        <v>78033</v>
      </c>
      <c r="C35" s="15" t="n">
        <v>77318</v>
      </c>
      <c r="D35" s="15" t="n">
        <v>715</v>
      </c>
    </row>
    <row r="36">
      <c r="A36" s="15" t="n">
        <v>27</v>
      </c>
      <c r="B36" s="15" t="n">
        <v>78564</v>
      </c>
      <c r="C36" s="15" t="n">
        <v>78033</v>
      </c>
      <c r="D36" s="15" t="n">
        <v>531</v>
      </c>
    </row>
    <row r="37">
      <c r="A37" s="15" t="n">
        <v>28</v>
      </c>
      <c r="B37" s="15" t="n">
        <v>79094</v>
      </c>
      <c r="C37" s="15" t="n">
        <v>78564</v>
      </c>
      <c r="D37" s="15" t="n">
        <v>530</v>
      </c>
    </row>
    <row r="38">
      <c r="A38" s="15" t="n">
        <v>29</v>
      </c>
      <c r="B38" s="15" t="n">
        <v>80170</v>
      </c>
      <c r="C38" s="15" t="n">
        <v>79094</v>
      </c>
      <c r="D38" s="15" t="n">
        <v>1076</v>
      </c>
    </row>
    <row r="39">
      <c r="A39" s="15" t="n">
        <v>30</v>
      </c>
      <c r="B39" s="15" t="n">
        <v>81246</v>
      </c>
      <c r="C39" s="15" t="n">
        <v>80170</v>
      </c>
      <c r="D39" s="15" t="n">
        <v>1076</v>
      </c>
    </row>
    <row r="40">
      <c r="A40" s="15" t="n">
        <v>31</v>
      </c>
      <c r="B40" s="15" t="n">
        <v>81757</v>
      </c>
      <c r="C40" s="15" t="n">
        <v>81246</v>
      </c>
      <c r="D40" s="15" t="n">
        <v>511</v>
      </c>
    </row>
    <row r="41">
      <c r="A41" s="15" t="n">
        <v>32</v>
      </c>
      <c r="B41" s="15" t="n">
        <v>82268</v>
      </c>
      <c r="C41" s="15" t="n">
        <v>81757</v>
      </c>
      <c r="D41" s="15" t="n">
        <v>511</v>
      </c>
    </row>
    <row r="42">
      <c r="A42" s="15" t="n">
        <v>33</v>
      </c>
      <c r="B42" s="15" t="n">
        <v>83363</v>
      </c>
      <c r="C42" s="15" t="n">
        <v>82268</v>
      </c>
      <c r="D42" s="15" t="n">
        <v>1095</v>
      </c>
    </row>
    <row r="43">
      <c r="A43" s="15" t="n">
        <v>34</v>
      </c>
      <c r="B43" s="15" t="n">
        <v>83940</v>
      </c>
      <c r="C43" s="15" t="n">
        <v>83363</v>
      </c>
      <c r="D43" s="15" t="n">
        <v>577</v>
      </c>
    </row>
    <row r="44">
      <c r="A44" s="15" t="n">
        <v>35</v>
      </c>
      <c r="B44" s="15" t="n">
        <v>84516</v>
      </c>
      <c r="C44" s="15" t="n">
        <v>83940</v>
      </c>
      <c r="D44" s="15" t="n">
        <v>576</v>
      </c>
    </row>
    <row r="45">
      <c r="A45" s="15" t="n">
        <v>36</v>
      </c>
      <c r="B45" s="15" t="n">
        <v>86140</v>
      </c>
      <c r="C45" s="15" t="n">
        <v>84516</v>
      </c>
      <c r="D45" s="15" t="n">
        <v>1624</v>
      </c>
    </row>
    <row r="46">
      <c r="A46" s="15" t="n">
        <v>37</v>
      </c>
      <c r="B46" s="15" t="n">
        <v>86840</v>
      </c>
      <c r="C46" s="15" t="n">
        <v>86140</v>
      </c>
      <c r="D46" s="15" t="n">
        <v>700</v>
      </c>
    </row>
    <row r="47">
      <c r="A47" s="15" t="n">
        <v>38</v>
      </c>
      <c r="B47" s="15" t="n">
        <v>87540</v>
      </c>
      <c r="C47" s="15" t="n">
        <v>86840</v>
      </c>
      <c r="D47" s="15" t="n">
        <v>700</v>
      </c>
    </row>
    <row r="48">
      <c r="A48" s="15" t="n">
        <v>39</v>
      </c>
      <c r="B48" s="15" t="n">
        <v>87902</v>
      </c>
      <c r="C48" s="15" t="n">
        <v>87540</v>
      </c>
      <c r="D48" s="15" t="n">
        <v>362</v>
      </c>
    </row>
    <row r="49">
      <c r="A49" s="15" t="n">
        <v>40</v>
      </c>
      <c r="B49" s="15" t="n">
        <v>88264</v>
      </c>
      <c r="C49" s="15" t="n">
        <v>87902</v>
      </c>
      <c r="D49" s="15" t="n">
        <v>362</v>
      </c>
    </row>
    <row r="50">
      <c r="A50" s="15" t="n">
        <v>41</v>
      </c>
      <c r="B50" s="15" t="n">
        <v>89157</v>
      </c>
      <c r="C50" s="15" t="n">
        <v>88264</v>
      </c>
      <c r="D50" s="15" t="n">
        <v>893</v>
      </c>
    </row>
    <row r="51">
      <c r="A51" s="15" t="n">
        <v>42</v>
      </c>
      <c r="B51" s="15" t="n">
        <v>90050</v>
      </c>
      <c r="C51" s="15" t="n">
        <v>89157</v>
      </c>
      <c r="D51" s="15" t="n">
        <v>893</v>
      </c>
    </row>
    <row r="52">
      <c r="A52" s="15" t="n">
        <v>43</v>
      </c>
      <c r="B52" s="15" t="n">
        <v>92004</v>
      </c>
      <c r="C52" s="15" t="n">
        <v>90050</v>
      </c>
      <c r="D52" s="15" t="n">
        <v>1954</v>
      </c>
    </row>
    <row r="53">
      <c r="A53" s="15" t="n">
        <v>44</v>
      </c>
      <c r="B53" s="15" t="n">
        <v>92625</v>
      </c>
      <c r="C53" s="15" t="n">
        <v>92004</v>
      </c>
      <c r="D53" s="15" t="n">
        <v>621</v>
      </c>
    </row>
    <row r="54">
      <c r="A54" s="15" t="n">
        <v>45</v>
      </c>
      <c r="B54" s="15" t="n">
        <v>93247</v>
      </c>
      <c r="C54" s="15" t="n">
        <v>92625</v>
      </c>
      <c r="D54" s="15" t="n">
        <v>622</v>
      </c>
    </row>
    <row r="55">
      <c r="A55" s="15" t="n">
        <v>46</v>
      </c>
      <c r="B55" s="15" t="n">
        <v>93868</v>
      </c>
      <c r="C55" s="15" t="n">
        <v>93247</v>
      </c>
      <c r="D55" s="15" t="n">
        <v>621</v>
      </c>
    </row>
    <row r="56">
      <c r="A56" s="15" t="n">
        <v>47</v>
      </c>
      <c r="B56" s="15" t="n">
        <v>94508</v>
      </c>
      <c r="C56" s="15" t="n">
        <v>93868</v>
      </c>
      <c r="D56" s="15" t="n">
        <v>640</v>
      </c>
    </row>
    <row r="57">
      <c r="A57" s="15" t="n">
        <v>48</v>
      </c>
      <c r="B57" s="15" t="n">
        <v>95507</v>
      </c>
      <c r="C57" s="15" t="n">
        <v>94508</v>
      </c>
      <c r="D57" s="15" t="n">
        <v>999</v>
      </c>
    </row>
    <row r="58">
      <c r="A58" s="15" t="n">
        <v>49</v>
      </c>
      <c r="B58" s="15" t="n">
        <v>96324</v>
      </c>
      <c r="C58" s="15" t="n">
        <v>95507</v>
      </c>
      <c r="D58" s="15" t="n">
        <v>817</v>
      </c>
    </row>
    <row r="59">
      <c r="A59" s="15" t="n">
        <v>50</v>
      </c>
      <c r="B59" s="15" t="n">
        <v>97140</v>
      </c>
      <c r="C59" s="15" t="n">
        <v>96324</v>
      </c>
      <c r="D59" s="15" t="n">
        <v>816</v>
      </c>
    </row>
    <row r="60">
      <c r="A60" s="15" t="n">
        <v>51</v>
      </c>
      <c r="B60" s="15" t="n">
        <v>98496</v>
      </c>
      <c r="C60" s="15" t="n">
        <v>97140</v>
      </c>
      <c r="D60" s="15" t="n">
        <v>1356</v>
      </c>
    </row>
    <row r="61">
      <c r="A61" s="15" t="n">
        <v>52</v>
      </c>
      <c r="B61" s="15" t="n">
        <v>99373</v>
      </c>
      <c r="C61" s="15" t="n">
        <v>98496</v>
      </c>
      <c r="D61" s="15" t="n">
        <v>877</v>
      </c>
    </row>
    <row r="62">
      <c r="A62" s="15" t="n">
        <v>53</v>
      </c>
      <c r="B62" s="15" t="n">
        <v>100250</v>
      </c>
      <c r="C62" s="15" t="n">
        <v>99373</v>
      </c>
      <c r="D62" s="15" t="n">
        <v>877</v>
      </c>
    </row>
    <row r="63">
      <c r="A63" s="15" t="n">
        <v>54</v>
      </c>
      <c r="B63" s="15" t="n">
        <v>101127</v>
      </c>
      <c r="C63" s="15" t="n">
        <v>100250</v>
      </c>
      <c r="D63" s="15" t="n">
        <v>877</v>
      </c>
    </row>
    <row r="64">
      <c r="A64" s="15" t="n">
        <v>55</v>
      </c>
      <c r="B64" s="15" t="n">
        <v>101462</v>
      </c>
      <c r="C64" s="15" t="n">
        <v>101127</v>
      </c>
      <c r="D64" s="15" t="n">
        <v>335</v>
      </c>
    </row>
    <row r="65">
      <c r="A65" s="15" t="n">
        <v>56</v>
      </c>
      <c r="B65" s="15" t="n">
        <v>102156</v>
      </c>
      <c r="C65" s="15" t="n">
        <v>101462</v>
      </c>
      <c r="D65" s="15" t="n">
        <v>694</v>
      </c>
    </row>
    <row r="66">
      <c r="A66" s="15" t="n">
        <v>57</v>
      </c>
      <c r="B66" s="15" t="n">
        <v>102850</v>
      </c>
      <c r="C66" s="15" t="n">
        <v>102156</v>
      </c>
      <c r="D66" s="15" t="n">
        <v>694</v>
      </c>
    </row>
    <row r="67">
      <c r="A67" s="15" t="n">
        <v>58</v>
      </c>
      <c r="B67" s="15" t="n">
        <v>103381</v>
      </c>
      <c r="C67" s="15" t="n">
        <v>102850</v>
      </c>
      <c r="D67" s="15" t="n">
        <v>531</v>
      </c>
    </row>
    <row r="68">
      <c r="A68" s="15" t="n">
        <v>59</v>
      </c>
      <c r="B68" s="15" t="n">
        <v>103912</v>
      </c>
      <c r="C68" s="15" t="n">
        <v>103381</v>
      </c>
      <c r="D68" s="15" t="n">
        <v>531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2026-08-28T18:46:50Z</dcterms:created>
  <dcterms:modified xmlns:dcterms="http://purl.org/dc/terms/" xmlns:xsi="http://www.w3.org/2001/XMLSchema-instance" xsi:type="dcterms:W3CDTF">2026-08-28T18:46:50Z</dcterms:modified>
</cp:coreProperties>
</file>